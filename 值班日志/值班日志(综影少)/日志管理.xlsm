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值班日志\值班日志(综影少)\"/>
    </mc:Choice>
  </mc:AlternateContent>
  <bookViews>
    <workbookView xWindow="0" yWindow="60" windowWidth="21600" windowHeight="9795" firstSheet="2" activeTab="2"/>
  </bookViews>
  <sheets>
    <sheet name="配置" sheetId="1" state="veryHidden" r:id="rId1"/>
    <sheet name="mould2" sheetId="59" state="veryHidden" r:id="rId2"/>
    <sheet name="空白表" sheetId="64" r:id="rId3"/>
    <sheet name="mould3" sheetId="67" state="veryHidden" r:id="rId4"/>
    <sheet name="mould4" sheetId="72" state="veryHidden" r:id="rId5"/>
    <sheet name="mould1" sheetId="73" state="veryHidden" r:id="rId6"/>
  </sheets>
  <definedNames>
    <definedName name="_xlnm._FilterDatabase" localSheetId="5" hidden="1">mould1!$B$3:$P$80</definedName>
    <definedName name="_xlnm._FilterDatabase" localSheetId="1" hidden="1">mould2!$B$3:$P$80</definedName>
    <definedName name="_xlnm._FilterDatabase" localSheetId="3" hidden="1">mould3!$B$3:$P$79</definedName>
    <definedName name="_xlnm._FilterDatabase" localSheetId="4" hidden="1">mould4!$B$3:$P$82</definedName>
    <definedName name="SheetName">SUBSTITUTE(GET.DOCUMENT(1),"["&amp;GET.DOCUMENT(88)&amp;"]",)&amp;T(NOW())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67" l="1"/>
  <c r="H14" i="67"/>
  <c r="I14" i="67"/>
  <c r="J14" i="67"/>
  <c r="K14" i="67"/>
  <c r="N14" i="67"/>
  <c r="O14" i="67"/>
  <c r="G15" i="67"/>
  <c r="H15" i="67"/>
  <c r="I15" i="67"/>
  <c r="J15" i="67"/>
  <c r="K15" i="67"/>
  <c r="N15" i="67"/>
  <c r="O15" i="67"/>
  <c r="G15" i="59"/>
  <c r="H15" i="59"/>
  <c r="I15" i="59"/>
  <c r="J15" i="59"/>
  <c r="K15" i="59"/>
  <c r="N15" i="59"/>
  <c r="O15" i="59"/>
  <c r="G16" i="59"/>
  <c r="H16" i="59"/>
  <c r="I16" i="59"/>
  <c r="J16" i="59"/>
  <c r="K16" i="59"/>
  <c r="N16" i="59"/>
  <c r="O16" i="59"/>
  <c r="G11" i="72" l="1"/>
  <c r="H11" i="72"/>
  <c r="I11" i="72"/>
  <c r="J11" i="72"/>
  <c r="K11" i="72"/>
  <c r="N11" i="72"/>
  <c r="O11" i="72"/>
  <c r="K12" i="72" l="1"/>
  <c r="G17" i="72"/>
  <c r="H17" i="72"/>
  <c r="I17" i="72"/>
  <c r="J17" i="72"/>
  <c r="K17" i="72"/>
  <c r="N17" i="72"/>
  <c r="O17" i="72"/>
  <c r="G7" i="72"/>
  <c r="H7" i="72"/>
  <c r="I7" i="72"/>
  <c r="J7" i="72"/>
  <c r="K7" i="72"/>
  <c r="N7" i="72"/>
  <c r="O7" i="72"/>
  <c r="G6" i="72"/>
  <c r="H6" i="72"/>
  <c r="I6" i="72"/>
  <c r="J6" i="72"/>
  <c r="K6" i="72"/>
  <c r="N6" i="72"/>
  <c r="O6" i="72"/>
  <c r="G14" i="73"/>
  <c r="H14" i="73"/>
  <c r="I14" i="73"/>
  <c r="J14" i="73"/>
  <c r="K14" i="73"/>
  <c r="N14" i="73"/>
  <c r="O14" i="73"/>
  <c r="G6" i="73"/>
  <c r="H6" i="73"/>
  <c r="I6" i="73"/>
  <c r="J6" i="73"/>
  <c r="K6" i="73"/>
  <c r="N6" i="73"/>
  <c r="O6" i="73"/>
  <c r="K24" i="73"/>
  <c r="H24" i="73"/>
  <c r="K23" i="73"/>
  <c r="H23" i="73"/>
  <c r="K22" i="73"/>
  <c r="H22" i="73"/>
  <c r="N20" i="73"/>
  <c r="K20" i="73"/>
  <c r="J20" i="73"/>
  <c r="N19" i="73"/>
  <c r="K19" i="73"/>
  <c r="J19" i="73"/>
  <c r="O17" i="73"/>
  <c r="N17" i="73"/>
  <c r="K17" i="73"/>
  <c r="J17" i="73"/>
  <c r="I17" i="73"/>
  <c r="H17" i="73"/>
  <c r="G17" i="73"/>
  <c r="O16" i="73"/>
  <c r="N16" i="73"/>
  <c r="K16" i="73"/>
  <c r="J16" i="73"/>
  <c r="I16" i="73"/>
  <c r="H16" i="73"/>
  <c r="G16" i="73"/>
  <c r="O15" i="73"/>
  <c r="N15" i="73"/>
  <c r="K15" i="73"/>
  <c r="J15" i="73"/>
  <c r="I15" i="73"/>
  <c r="H15" i="73"/>
  <c r="G15" i="73"/>
  <c r="O13" i="73"/>
  <c r="N13" i="73"/>
  <c r="K13" i="73"/>
  <c r="J13" i="73"/>
  <c r="I13" i="73"/>
  <c r="H13" i="73"/>
  <c r="G13" i="73"/>
  <c r="O12" i="73"/>
  <c r="N12" i="73"/>
  <c r="K12" i="73"/>
  <c r="J12" i="73"/>
  <c r="I12" i="73"/>
  <c r="H12" i="73"/>
  <c r="G12" i="73"/>
  <c r="O11" i="73"/>
  <c r="N11" i="73"/>
  <c r="K11" i="73"/>
  <c r="J11" i="73"/>
  <c r="I11" i="73"/>
  <c r="H11" i="73"/>
  <c r="G11" i="73"/>
  <c r="O10" i="73"/>
  <c r="N10" i="73"/>
  <c r="K10" i="73"/>
  <c r="J10" i="73"/>
  <c r="I10" i="73"/>
  <c r="H10" i="73"/>
  <c r="G10" i="73"/>
  <c r="O9" i="73"/>
  <c r="N9" i="73"/>
  <c r="K9" i="73"/>
  <c r="J9" i="73"/>
  <c r="I9" i="73"/>
  <c r="H9" i="73"/>
  <c r="G9" i="73"/>
  <c r="O8" i="73"/>
  <c r="N8" i="73"/>
  <c r="K8" i="73"/>
  <c r="J8" i="73"/>
  <c r="I8" i="73"/>
  <c r="H8" i="73"/>
  <c r="G8" i="73"/>
  <c r="O7" i="73"/>
  <c r="N7" i="73"/>
  <c r="K7" i="73"/>
  <c r="J7" i="73"/>
  <c r="I7" i="73"/>
  <c r="H7" i="73"/>
  <c r="G7" i="73"/>
  <c r="O5" i="73"/>
  <c r="N5" i="73"/>
  <c r="I5" i="73"/>
  <c r="G5" i="73"/>
  <c r="K26" i="72"/>
  <c r="H26" i="72"/>
  <c r="K25" i="72"/>
  <c r="H25" i="72"/>
  <c r="K24" i="72"/>
  <c r="H24" i="72"/>
  <c r="N22" i="72"/>
  <c r="K22" i="72"/>
  <c r="J22" i="72"/>
  <c r="N21" i="72"/>
  <c r="K21" i="72"/>
  <c r="J21" i="72"/>
  <c r="O19" i="72"/>
  <c r="N19" i="72"/>
  <c r="K19" i="72"/>
  <c r="J19" i="72"/>
  <c r="I19" i="72"/>
  <c r="H19" i="72"/>
  <c r="G19" i="72"/>
  <c r="O18" i="72"/>
  <c r="N18" i="72"/>
  <c r="K18" i="72"/>
  <c r="J18" i="72"/>
  <c r="I18" i="72"/>
  <c r="H18" i="72"/>
  <c r="G18" i="72"/>
  <c r="O16" i="72"/>
  <c r="N16" i="72"/>
  <c r="K16" i="72"/>
  <c r="J16" i="72"/>
  <c r="I16" i="72"/>
  <c r="H16" i="72"/>
  <c r="G16" i="72"/>
  <c r="O15" i="72"/>
  <c r="N15" i="72"/>
  <c r="K15" i="72"/>
  <c r="J15" i="72"/>
  <c r="I15" i="72"/>
  <c r="H15" i="72"/>
  <c r="G15" i="72"/>
  <c r="O14" i="72"/>
  <c r="N14" i="72"/>
  <c r="K14" i="72"/>
  <c r="J14" i="72"/>
  <c r="I14" i="72"/>
  <c r="H14" i="72"/>
  <c r="G14" i="72"/>
  <c r="O13" i="72"/>
  <c r="N13" i="72"/>
  <c r="K13" i="72"/>
  <c r="J13" i="72"/>
  <c r="I13" i="72"/>
  <c r="H13" i="72"/>
  <c r="G13" i="72"/>
  <c r="O12" i="72"/>
  <c r="N12" i="72"/>
  <c r="J12" i="72"/>
  <c r="I12" i="72"/>
  <c r="H12" i="72"/>
  <c r="G12" i="72"/>
  <c r="O10" i="72"/>
  <c r="N10" i="72"/>
  <c r="K10" i="72"/>
  <c r="J10" i="72"/>
  <c r="I10" i="72"/>
  <c r="H10" i="72"/>
  <c r="G10" i="72"/>
  <c r="O9" i="72"/>
  <c r="N9" i="72"/>
  <c r="K9" i="72"/>
  <c r="J9" i="72"/>
  <c r="I9" i="72"/>
  <c r="H9" i="72"/>
  <c r="G9" i="72"/>
  <c r="O8" i="72"/>
  <c r="N8" i="72"/>
  <c r="K8" i="72"/>
  <c r="J8" i="72"/>
  <c r="I8" i="72"/>
  <c r="H8" i="72"/>
  <c r="G8" i="72"/>
  <c r="O5" i="72"/>
  <c r="N5" i="72"/>
  <c r="I5" i="72"/>
  <c r="G5" i="72"/>
  <c r="A1" i="72"/>
  <c r="A1" i="73"/>
  <c r="H22" i="67" l="1"/>
  <c r="H23" i="67"/>
  <c r="H23" i="59"/>
  <c r="H24" i="59"/>
  <c r="K23" i="67" l="1"/>
  <c r="K22" i="67"/>
  <c r="K21" i="67"/>
  <c r="H21" i="67"/>
  <c r="N19" i="67"/>
  <c r="K19" i="67"/>
  <c r="J19" i="67"/>
  <c r="N18" i="67"/>
  <c r="K18" i="67"/>
  <c r="J18" i="67"/>
  <c r="O16" i="67"/>
  <c r="N16" i="67"/>
  <c r="K16" i="67"/>
  <c r="J16" i="67"/>
  <c r="I16" i="67"/>
  <c r="H16" i="67"/>
  <c r="G16" i="67"/>
  <c r="O13" i="67"/>
  <c r="N13" i="67"/>
  <c r="K13" i="67"/>
  <c r="J13" i="67"/>
  <c r="I13" i="67"/>
  <c r="H13" i="67"/>
  <c r="G13" i="67"/>
  <c r="O12" i="67"/>
  <c r="N12" i="67"/>
  <c r="K12" i="67"/>
  <c r="J12" i="67"/>
  <c r="I12" i="67"/>
  <c r="H12" i="67"/>
  <c r="G12" i="67"/>
  <c r="O11" i="67"/>
  <c r="N11" i="67"/>
  <c r="K11" i="67"/>
  <c r="J11" i="67"/>
  <c r="I11" i="67"/>
  <c r="H11" i="67"/>
  <c r="G11" i="67"/>
  <c r="O10" i="67"/>
  <c r="N10" i="67"/>
  <c r="K10" i="67"/>
  <c r="J10" i="67"/>
  <c r="I10" i="67"/>
  <c r="H10" i="67"/>
  <c r="G10" i="67"/>
  <c r="O9" i="67"/>
  <c r="N9" i="67"/>
  <c r="K9" i="67"/>
  <c r="J9" i="67"/>
  <c r="I9" i="67"/>
  <c r="H9" i="67"/>
  <c r="G9" i="67"/>
  <c r="O8" i="67"/>
  <c r="N8" i="67"/>
  <c r="K8" i="67"/>
  <c r="J8" i="67"/>
  <c r="I8" i="67"/>
  <c r="H8" i="67"/>
  <c r="G8" i="67"/>
  <c r="O7" i="67"/>
  <c r="N7" i="67"/>
  <c r="K7" i="67"/>
  <c r="J7" i="67"/>
  <c r="I7" i="67"/>
  <c r="H7" i="67"/>
  <c r="G7" i="67"/>
  <c r="O6" i="67"/>
  <c r="N6" i="67"/>
  <c r="K6" i="67"/>
  <c r="J6" i="67"/>
  <c r="I6" i="67"/>
  <c r="H6" i="67"/>
  <c r="G6" i="67"/>
  <c r="O5" i="67"/>
  <c r="N5" i="67"/>
  <c r="I5" i="67"/>
  <c r="G5" i="67"/>
  <c r="A1" i="67"/>
  <c r="H22" i="59" l="1"/>
  <c r="K22" i="59"/>
  <c r="K23" i="59"/>
  <c r="K24" i="59"/>
  <c r="N20" i="59"/>
  <c r="K20" i="59"/>
  <c r="J20" i="59"/>
  <c r="N19" i="59"/>
  <c r="K19" i="59"/>
  <c r="J19" i="59"/>
  <c r="O17" i="59"/>
  <c r="N17" i="59"/>
  <c r="K17" i="59"/>
  <c r="J17" i="59"/>
  <c r="I17" i="59"/>
  <c r="H17" i="59"/>
  <c r="G17" i="59"/>
  <c r="O14" i="59"/>
  <c r="N14" i="59"/>
  <c r="K14" i="59"/>
  <c r="J14" i="59"/>
  <c r="I14" i="59"/>
  <c r="H14" i="59"/>
  <c r="G14" i="59"/>
  <c r="O13" i="59"/>
  <c r="N13" i="59"/>
  <c r="K13" i="59"/>
  <c r="J13" i="59"/>
  <c r="I13" i="59"/>
  <c r="H13" i="59"/>
  <c r="G13" i="59"/>
  <c r="O12" i="59"/>
  <c r="N12" i="59"/>
  <c r="K12" i="59"/>
  <c r="J12" i="59"/>
  <c r="I12" i="59"/>
  <c r="H12" i="59"/>
  <c r="G12" i="59"/>
  <c r="O11" i="59"/>
  <c r="N11" i="59"/>
  <c r="K11" i="59"/>
  <c r="J11" i="59"/>
  <c r="I11" i="59"/>
  <c r="H11" i="59"/>
  <c r="G11" i="59"/>
  <c r="O10" i="59"/>
  <c r="N10" i="59"/>
  <c r="K10" i="59"/>
  <c r="J10" i="59"/>
  <c r="I10" i="59"/>
  <c r="H10" i="59"/>
  <c r="G10" i="59"/>
  <c r="O9" i="59"/>
  <c r="N9" i="59"/>
  <c r="K9" i="59"/>
  <c r="J9" i="59"/>
  <c r="I9" i="59"/>
  <c r="H9" i="59"/>
  <c r="G9" i="59"/>
  <c r="O8" i="59"/>
  <c r="N8" i="59"/>
  <c r="K8" i="59"/>
  <c r="J8" i="59"/>
  <c r="I8" i="59"/>
  <c r="H8" i="59"/>
  <c r="G8" i="59"/>
  <c r="O7" i="59"/>
  <c r="N7" i="59"/>
  <c r="K7" i="59"/>
  <c r="J7" i="59"/>
  <c r="I7" i="59"/>
  <c r="H7" i="59"/>
  <c r="G7" i="59"/>
  <c r="O6" i="59"/>
  <c r="N6" i="59"/>
  <c r="K6" i="59"/>
  <c r="J6" i="59"/>
  <c r="I6" i="59"/>
  <c r="H6" i="59"/>
  <c r="G6" i="59"/>
  <c r="O5" i="59"/>
  <c r="N5" i="59"/>
  <c r="I5" i="59"/>
  <c r="G5" i="59"/>
  <c r="A1" i="59"/>
  <c r="M5" i="73"/>
  <c r="M6" i="73"/>
  <c r="M7" i="73"/>
  <c r="M8" i="73"/>
  <c r="M9" i="73"/>
  <c r="M10" i="73"/>
  <c r="M11" i="73"/>
  <c r="M12" i="73"/>
  <c r="M13" i="73"/>
  <c r="M14" i="73"/>
  <c r="M15" i="73"/>
  <c r="M16" i="73"/>
  <c r="M17" i="73"/>
  <c r="M19" i="73"/>
  <c r="M20" i="73"/>
  <c r="M5" i="59"/>
  <c r="M6" i="59"/>
  <c r="M7" i="59"/>
  <c r="M8" i="59"/>
  <c r="M9" i="59"/>
  <c r="M10" i="59"/>
  <c r="M11" i="59"/>
  <c r="M12" i="59"/>
  <c r="M13" i="59"/>
  <c r="M14" i="59"/>
  <c r="M15" i="59"/>
  <c r="M16" i="59"/>
  <c r="M17" i="59"/>
  <c r="M19" i="59"/>
  <c r="M20" i="59"/>
  <c r="M5" i="67"/>
  <c r="M6" i="67"/>
  <c r="M7" i="67"/>
  <c r="M8" i="67"/>
  <c r="M9" i="67"/>
  <c r="M10" i="67"/>
  <c r="M11" i="67"/>
  <c r="M12" i="67"/>
  <c r="M13" i="67"/>
  <c r="M14" i="67"/>
  <c r="M15" i="67"/>
  <c r="M16" i="67"/>
  <c r="M18" i="67"/>
  <c r="M19" i="67"/>
  <c r="M5" i="72"/>
  <c r="M6" i="72"/>
  <c r="M7" i="72"/>
  <c r="M8" i="72"/>
  <c r="M9" i="72"/>
  <c r="M10" i="72"/>
  <c r="M11" i="72"/>
  <c r="M12" i="72"/>
  <c r="M13" i="72"/>
  <c r="M14" i="72"/>
  <c r="M15" i="72"/>
  <c r="M16" i="72"/>
  <c r="M17" i="72"/>
  <c r="M18" i="72"/>
  <c r="M19" i="72"/>
  <c r="M21" i="72"/>
  <c r="M22" i="72"/>
</calcChain>
</file>

<file path=xl/sharedStrings.xml><?xml version="1.0" encoding="utf-8"?>
<sst xmlns="http://schemas.openxmlformats.org/spreadsheetml/2006/main" count="407" uniqueCount="155">
  <si>
    <t>完成属性</t>
    <phoneticPr fontId="1" type="noConversion"/>
  </si>
  <si>
    <t>已完成</t>
    <phoneticPr fontId="1" type="noConversion"/>
  </si>
  <si>
    <t>未完成</t>
    <phoneticPr fontId="1" type="noConversion"/>
  </si>
  <si>
    <t>用户名</t>
    <phoneticPr fontId="1" type="noConversion"/>
  </si>
  <si>
    <t>密码</t>
    <phoneticPr fontId="1" type="noConversion"/>
  </si>
  <si>
    <t>权限</t>
    <phoneticPr fontId="1" type="noConversion"/>
  </si>
  <si>
    <t>管理员</t>
    <phoneticPr fontId="1" type="noConversion"/>
  </si>
  <si>
    <t>admin</t>
    <phoneticPr fontId="1" type="noConversion"/>
  </si>
  <si>
    <t>最后修订</t>
  </si>
  <si>
    <t>序号</t>
  </si>
  <si>
    <t>操作类别</t>
  </si>
  <si>
    <t>操作内容</t>
  </si>
  <si>
    <t>执行者</t>
  </si>
  <si>
    <t>执行时间</t>
  </si>
  <si>
    <t>操作记录</t>
  </si>
  <si>
    <t>O操作记录</t>
  </si>
  <si>
    <t>备注</t>
  </si>
  <si>
    <t>规定操作时间</t>
    <phoneticPr fontId="1" type="noConversion"/>
  </si>
  <si>
    <t>刷新素材</t>
    <phoneticPr fontId="1" type="noConversion"/>
  </si>
  <si>
    <t>播出工作站工作状态</t>
    <phoneticPr fontId="1" type="noConversion"/>
  </si>
  <si>
    <t>时间及校时软件</t>
    <phoneticPr fontId="1" type="noConversion"/>
  </si>
  <si>
    <t>逻辑校验信息窗口</t>
    <phoneticPr fontId="1" type="noConversion"/>
  </si>
  <si>
    <t>心跳信息输出窗口</t>
    <phoneticPr fontId="1" type="noConversion"/>
  </si>
  <si>
    <t>预警</t>
    <phoneticPr fontId="1" type="noConversion"/>
  </si>
  <si>
    <t>字幕（12：00～19：00）</t>
    <phoneticPr fontId="1" type="noConversion"/>
  </si>
  <si>
    <t>黄郴玲</t>
  </si>
  <si>
    <t>余健文</t>
  </si>
  <si>
    <t>丘桂芳</t>
  </si>
  <si>
    <t>孟佳佳</t>
  </si>
  <si>
    <t>陈国杨</t>
  </si>
  <si>
    <t>蔡冬仰</t>
  </si>
  <si>
    <t>吴婷婷</t>
  </si>
  <si>
    <t>莫丽娜</t>
  </si>
  <si>
    <t>唐辉翰</t>
  </si>
  <si>
    <t>黎伟波</t>
  </si>
  <si>
    <t>余维辉</t>
  </si>
  <si>
    <t>邓　祺</t>
  </si>
  <si>
    <t>黄燕谋</t>
  </si>
  <si>
    <t>梁文才</t>
  </si>
  <si>
    <t>邵一明</t>
  </si>
  <si>
    <t>黄剑青</t>
  </si>
  <si>
    <t>冯伟卓</t>
  </si>
  <si>
    <t>蔡焕新</t>
  </si>
  <si>
    <t>黄志江</t>
  </si>
  <si>
    <t>值班员</t>
    <phoneticPr fontId="1" type="noConversion"/>
  </si>
  <si>
    <t>刘燕萍</t>
    <phoneticPr fontId="1" type="noConversion"/>
  </si>
  <si>
    <t>刘秋天</t>
    <phoneticPr fontId="1" type="noConversion"/>
  </si>
  <si>
    <t>版 面</t>
    <phoneticPr fontId="1" type="noConversion"/>
  </si>
  <si>
    <t>检查</t>
    <phoneticPr fontId="1" type="noConversion"/>
  </si>
  <si>
    <t>挂角</t>
    <phoneticPr fontId="1" type="noConversion"/>
  </si>
  <si>
    <t>中 班</t>
    <phoneticPr fontId="1" type="noConversion"/>
  </si>
  <si>
    <t xml:space="preserve">  </t>
    <phoneticPr fontId="1" type="noConversion"/>
  </si>
  <si>
    <t>初次修订</t>
    <phoneticPr fontId="1" type="noConversion"/>
  </si>
  <si>
    <t>开始时间</t>
    <phoneticPr fontId="1" type="noConversion"/>
  </si>
  <si>
    <t>结束时间</t>
    <phoneticPr fontId="1" type="noConversion"/>
  </si>
  <si>
    <t>岗  位</t>
    <phoneticPr fontId="1" type="noConversion"/>
  </si>
  <si>
    <t>时间</t>
    <phoneticPr fontId="1" type="noConversion"/>
  </si>
  <si>
    <t>钟映红</t>
    <phoneticPr fontId="1" type="noConversion"/>
  </si>
  <si>
    <t>林雄燕</t>
    <phoneticPr fontId="1" type="noConversion"/>
  </si>
  <si>
    <t>李素云</t>
    <phoneticPr fontId="1" type="noConversion"/>
  </si>
  <si>
    <t>洪琳妍</t>
    <phoneticPr fontId="1" type="noConversion"/>
  </si>
  <si>
    <t>王俣婧</t>
    <phoneticPr fontId="1" type="noConversion"/>
  </si>
  <si>
    <t>冼棉敏</t>
    <phoneticPr fontId="1" type="noConversion"/>
  </si>
  <si>
    <t>陈纳珍</t>
    <phoneticPr fontId="1" type="noConversion"/>
  </si>
  <si>
    <t>江彩珠</t>
    <phoneticPr fontId="1" type="noConversion"/>
  </si>
  <si>
    <t>苏粤平</t>
    <phoneticPr fontId="1" type="noConversion"/>
  </si>
  <si>
    <t>梁美环</t>
    <phoneticPr fontId="1" type="noConversion"/>
  </si>
  <si>
    <t>罗辉娟</t>
    <phoneticPr fontId="1" type="noConversion"/>
  </si>
  <si>
    <t>素材类型</t>
    <phoneticPr fontId="1" type="noConversion"/>
  </si>
  <si>
    <t>操作类型</t>
    <phoneticPr fontId="1" type="noConversion"/>
  </si>
  <si>
    <t>确认</t>
    <phoneticPr fontId="1" type="noConversion"/>
  </si>
  <si>
    <t>备注</t>
    <phoneticPr fontId="1" type="noConversion"/>
  </si>
  <si>
    <t>磁带编号</t>
    <phoneticPr fontId="1" type="noConversion"/>
  </si>
  <si>
    <t>播出频道</t>
    <phoneticPr fontId="1" type="noConversion"/>
  </si>
  <si>
    <t>取带</t>
    <phoneticPr fontId="1" type="noConversion"/>
  </si>
  <si>
    <t>送带</t>
    <phoneticPr fontId="1" type="noConversion"/>
  </si>
  <si>
    <t>节目名称、集数</t>
    <phoneticPr fontId="1" type="noConversion"/>
  </si>
  <si>
    <t>送取带人签名</t>
    <phoneticPr fontId="1" type="noConversion"/>
  </si>
  <si>
    <t>值班员</t>
  </si>
  <si>
    <t>送取带</t>
    <phoneticPr fontId="1" type="noConversion"/>
  </si>
  <si>
    <t>确认时间</t>
    <phoneticPr fontId="1" type="noConversion"/>
  </si>
  <si>
    <t>何  敏</t>
    <phoneticPr fontId="1" type="noConversion"/>
  </si>
  <si>
    <t>卢巧仪</t>
    <phoneticPr fontId="1" type="noConversion"/>
  </si>
  <si>
    <t>王彦卿</t>
    <phoneticPr fontId="1" type="noConversion"/>
  </si>
  <si>
    <t>删  除</t>
    <phoneticPr fontId="1" type="noConversion"/>
  </si>
  <si>
    <t>增  加</t>
    <phoneticPr fontId="1" type="noConversion"/>
  </si>
  <si>
    <t>刷  新</t>
    <phoneticPr fontId="1" type="noConversion"/>
  </si>
  <si>
    <t>宣传片</t>
    <phoneticPr fontId="1" type="noConversion"/>
  </si>
  <si>
    <t>节  目</t>
    <phoneticPr fontId="1" type="noConversion"/>
  </si>
  <si>
    <t>广  告</t>
    <phoneticPr fontId="1" type="noConversion"/>
  </si>
  <si>
    <t>经济高清</t>
    <phoneticPr fontId="1" type="noConversion"/>
  </si>
  <si>
    <t xml:space="preserve"> 上  星 </t>
    <phoneticPr fontId="1" type="noConversion"/>
  </si>
  <si>
    <t xml:space="preserve"> 综  艺 </t>
    <phoneticPr fontId="1" type="noConversion"/>
  </si>
  <si>
    <t xml:space="preserve"> 影  视 </t>
    <phoneticPr fontId="1" type="noConversion"/>
  </si>
  <si>
    <t xml:space="preserve"> 少  儿 </t>
    <phoneticPr fontId="1" type="noConversion"/>
  </si>
  <si>
    <t>交  班  时  间</t>
    <phoneticPr fontId="1" type="noConversion"/>
  </si>
  <si>
    <t>完成情况</t>
    <phoneticPr fontId="1" type="noConversion"/>
  </si>
  <si>
    <t>关  莹</t>
    <phoneticPr fontId="1" type="noConversion"/>
  </si>
  <si>
    <t>郑  棉</t>
    <phoneticPr fontId="1" type="noConversion"/>
  </si>
  <si>
    <t>频  道</t>
    <phoneticPr fontId="1" type="noConversion"/>
  </si>
  <si>
    <t xml:space="preserve"> 都  市 </t>
    <phoneticPr fontId="1" type="noConversion"/>
  </si>
  <si>
    <t xml:space="preserve"> 经  济</t>
    <phoneticPr fontId="1" type="noConversion"/>
  </si>
  <si>
    <t>素材检查（主备HDD）</t>
    <phoneticPr fontId="1" type="noConversion"/>
  </si>
  <si>
    <t>素材检查（第三备HDD）</t>
    <phoneticPr fontId="1" type="noConversion"/>
  </si>
  <si>
    <t>检查经济高清提前播</t>
    <phoneticPr fontId="1" type="noConversion"/>
  </si>
  <si>
    <t>素材</t>
    <phoneticPr fontId="1" type="noConversion"/>
  </si>
  <si>
    <t/>
  </si>
  <si>
    <t>素材类型</t>
    <phoneticPr fontId="1" type="noConversion"/>
  </si>
  <si>
    <t>版面</t>
    <phoneticPr fontId="1" type="noConversion"/>
  </si>
  <si>
    <t>更改时间</t>
    <phoneticPr fontId="1" type="noConversion"/>
  </si>
  <si>
    <t>操作类别</t>
    <phoneticPr fontId="1" type="noConversion"/>
  </si>
  <si>
    <t>修改节目单</t>
    <phoneticPr fontId="1" type="noConversion"/>
  </si>
  <si>
    <t>值班记录</t>
    <phoneticPr fontId="1" type="noConversion"/>
  </si>
  <si>
    <t>交接提示</t>
    <phoneticPr fontId="1" type="noConversion"/>
  </si>
  <si>
    <t>上个班次项目</t>
    <phoneticPr fontId="1" type="noConversion"/>
  </si>
  <si>
    <t>字幕（18：00～26：00）</t>
    <phoneticPr fontId="1" type="noConversion"/>
  </si>
  <si>
    <t>晚 班</t>
    <phoneticPr fontId="1" type="noConversion"/>
  </si>
  <si>
    <t>调单并检查节目单广告段日期</t>
    <phoneticPr fontId="1" type="noConversion"/>
  </si>
  <si>
    <t>重启字幕机并调单</t>
    <phoneticPr fontId="1" type="noConversion"/>
  </si>
  <si>
    <t>节目名称、集数</t>
    <phoneticPr fontId="1" type="noConversion"/>
  </si>
  <si>
    <t>刘文</t>
    <phoneticPr fontId="1" type="noConversion"/>
  </si>
  <si>
    <t>邓有志</t>
    <phoneticPr fontId="1" type="noConversion"/>
  </si>
  <si>
    <t>余庆生</t>
    <phoneticPr fontId="1" type="noConversion"/>
  </si>
  <si>
    <t>宋岗岗</t>
    <phoneticPr fontId="1" type="noConversion"/>
  </si>
  <si>
    <t>邱大海</t>
    <phoneticPr fontId="1" type="noConversion"/>
  </si>
  <si>
    <t>郑波城</t>
    <phoneticPr fontId="1" type="noConversion"/>
  </si>
  <si>
    <t>王潮茂</t>
    <phoneticPr fontId="1" type="noConversion"/>
  </si>
  <si>
    <t>刘科明</t>
    <phoneticPr fontId="1" type="noConversion"/>
  </si>
  <si>
    <t>徐海</t>
    <phoneticPr fontId="1" type="noConversion"/>
  </si>
  <si>
    <t>黄浩</t>
    <phoneticPr fontId="1" type="noConversion"/>
  </si>
  <si>
    <t>蔡敏</t>
    <phoneticPr fontId="1" type="noConversion"/>
  </si>
  <si>
    <t>陈昕</t>
    <phoneticPr fontId="1" type="noConversion"/>
  </si>
  <si>
    <t>傅政</t>
    <phoneticPr fontId="1" type="noConversion"/>
  </si>
  <si>
    <t>王丹</t>
    <phoneticPr fontId="1" type="noConversion"/>
  </si>
  <si>
    <t>郭洁</t>
    <phoneticPr fontId="1" type="noConversion"/>
  </si>
  <si>
    <t>早 班</t>
    <phoneticPr fontId="1" type="noConversion"/>
  </si>
  <si>
    <t>核对广告段日期</t>
    <phoneticPr fontId="1" type="noConversion"/>
  </si>
  <si>
    <t>检查当日磁带备份</t>
    <phoneticPr fontId="1" type="noConversion"/>
  </si>
  <si>
    <t>字幕（6：30～13：00）</t>
    <phoneticPr fontId="1" type="noConversion"/>
  </si>
  <si>
    <t>天气（7：00～9：00）</t>
    <phoneticPr fontId="1" type="noConversion"/>
  </si>
  <si>
    <t>预警</t>
    <phoneticPr fontId="1" type="noConversion"/>
  </si>
  <si>
    <t>通 宵</t>
    <phoneticPr fontId="1" type="noConversion"/>
  </si>
  <si>
    <t>预警</t>
    <phoneticPr fontId="1" type="noConversion"/>
  </si>
  <si>
    <t>字幕（00：0～08：00）</t>
    <phoneticPr fontId="1" type="noConversion"/>
  </si>
  <si>
    <t>综艺  影视  少儿</t>
    <phoneticPr fontId="1" type="noConversion"/>
  </si>
  <si>
    <t>刷新《南方气象》</t>
    <phoneticPr fontId="1" type="noConversion"/>
  </si>
  <si>
    <t>素材检查（第三备HDD）</t>
    <phoneticPr fontId="1" type="noConversion"/>
  </si>
  <si>
    <t>重启播出工作站</t>
    <phoneticPr fontId="1" type="noConversion"/>
  </si>
  <si>
    <t>修改影视少儿首条为“顺播”综艺保留“定时播”</t>
    <phoneticPr fontId="1" type="noConversion"/>
  </si>
  <si>
    <t>刷新《军情巨无霸》预告</t>
    <phoneticPr fontId="1" type="noConversion"/>
  </si>
  <si>
    <t>刷新《睩睩生活圈》预告</t>
    <phoneticPr fontId="1" type="noConversion"/>
  </si>
  <si>
    <t>素材</t>
    <phoneticPr fontId="1" type="noConversion"/>
  </si>
  <si>
    <t>素材</t>
    <phoneticPr fontId="1" type="noConversion"/>
  </si>
  <si>
    <t>刷新《军晴巨无霸》</t>
    <phoneticPr fontId="1" type="noConversion"/>
  </si>
  <si>
    <t>刷新《睩睩生活圈》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</si>
</sst>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h:mm;@"/>
    <numFmt numFmtId="177" formatCode="[$-804]aaaa;@"/>
  </numFmts>
  <fonts count="2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0"/>
      <color theme="1"/>
      <name val="微软雅黑"/>
      <family val="2"/>
      <charset val="134"/>
    </font>
    <font>
      <sz val="18"/>
      <color theme="4" tint="-0.499984740745262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12"/>
      <color rgb="FFFF0000"/>
      <name val="微软雅黑"/>
      <family val="2"/>
      <charset val="134"/>
    </font>
    <font>
      <sz val="8"/>
      <color theme="1"/>
      <name val="微软雅黑"/>
      <family val="2"/>
      <charset val="134"/>
    </font>
    <font>
      <sz val="14"/>
      <color theme="1"/>
      <name val="微软雅黑"/>
      <family val="2"/>
      <charset val="134"/>
    </font>
    <font>
      <b/>
      <sz val="14"/>
      <color theme="4" tint="-0.249977111117893"/>
      <name val="微软雅黑"/>
      <family val="2"/>
      <charset val="134"/>
    </font>
    <font>
      <sz val="10"/>
      <color rgb="FFFF0000"/>
      <name val="微软雅黑"/>
      <family val="2"/>
      <charset val="134"/>
    </font>
    <font>
      <sz val="10"/>
      <name val="微软雅黑"/>
      <family val="2"/>
      <charset val="134"/>
    </font>
    <font>
      <sz val="9"/>
      <color theme="1"/>
      <name val="微软雅黑"/>
      <family val="2"/>
      <charset val="134"/>
    </font>
    <font>
      <b/>
      <sz val="8"/>
      <color theme="1"/>
      <name val="微软雅黑"/>
      <family val="2"/>
      <charset val="134"/>
    </font>
    <font>
      <sz val="9"/>
      <name val="微软雅黑"/>
      <family val="2"/>
      <charset val="134"/>
    </font>
    <font>
      <b/>
      <sz val="9"/>
      <color theme="1"/>
      <name val="宋体"/>
      <family val="3"/>
      <charset val="134"/>
    </font>
    <font>
      <sz val="16"/>
      <name val="微软雅黑"/>
      <family val="2"/>
      <charset val="134"/>
    </font>
    <font>
      <b/>
      <sz val="12"/>
      <color rgb="FFFF0000"/>
      <name val="微软雅黑"/>
      <family val="2"/>
      <charset val="134"/>
    </font>
    <font>
      <b/>
      <sz val="14"/>
      <color rgb="FFFF0000"/>
      <name val="华文仿宋"/>
      <family val="3"/>
      <charset val="134"/>
    </font>
    <font>
      <sz val="11"/>
      <color theme="1"/>
      <name val="微软雅黑"/>
      <family val="2"/>
      <charset val="134"/>
    </font>
    <font>
      <b/>
      <sz val="11"/>
      <color rgb="FFFF0000"/>
      <name val="微软雅黑"/>
      <family val="2"/>
      <charset val="134"/>
    </font>
    <font>
      <sz val="14"/>
      <color rgb="FFFF0000"/>
      <name val="微软雅黑"/>
      <family val="2"/>
      <charset val="134"/>
    </font>
    <font>
      <sz val="14"/>
      <color rgb="FF00B0F0"/>
      <name val="微软雅黑"/>
      <family val="2"/>
      <charset val="134"/>
    </font>
    <font>
      <sz val="10"/>
      <color theme="1"/>
      <name val="等线"/>
      <family val="2"/>
      <scheme val="minor"/>
    </font>
    <font>
      <sz val="9"/>
      <color rgb="FFFF0000"/>
      <name val="微软雅黑"/>
      <family val="2"/>
      <charset val="134"/>
    </font>
    <font>
      <sz val="9"/>
      <color rgb="FFFF0000"/>
      <name val="等线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FC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0BAD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399975585192419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74">
    <xf numFmtId="0" fontId="0" fillId="0" borderId="0" xfId="0"/>
    <xf numFmtId="0" fontId="2" fillId="0" borderId="0" xfId="0" applyFont="1" applyProtection="1"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2" fillId="2" borderId="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2" fillId="0" borderId="0" xfId="0" applyFont="1" applyFill="1" applyBorder="1" applyAlignment="1" applyProtection="1">
      <alignment horizontal="center"/>
      <protection locked="0"/>
    </xf>
    <xf numFmtId="0" fontId="2" fillId="0" borderId="0" xfId="0" applyFont="1" applyFill="1" applyBorder="1" applyProtection="1">
      <protection locked="0"/>
    </xf>
    <xf numFmtId="0" fontId="2" fillId="0" borderId="0" xfId="0" applyFont="1" applyFill="1" applyBorder="1" applyAlignment="1" applyProtection="1">
      <alignment horizontal="left"/>
      <protection locked="0"/>
    </xf>
    <xf numFmtId="0" fontId="4" fillId="0" borderId="0" xfId="0" applyFont="1" applyBorder="1" applyProtection="1">
      <protection locked="0"/>
    </xf>
    <xf numFmtId="14" fontId="0" fillId="0" borderId="0" xfId="0" applyNumberFormat="1"/>
    <xf numFmtId="0" fontId="2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8" fillId="0" borderId="0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Alignment="1" applyProtection="1">
      <alignment horizontal="left" vertical="center"/>
      <protection locked="0"/>
    </xf>
    <xf numFmtId="0" fontId="9" fillId="4" borderId="1" xfId="0" applyFont="1" applyFill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 applyProtection="1">
      <alignment horizontal="center" vertical="center"/>
    </xf>
    <xf numFmtId="0" fontId="4" fillId="2" borderId="1" xfId="0" applyFont="1" applyFill="1" applyBorder="1" applyAlignment="1" applyProtection="1">
      <alignment horizontal="left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1" xfId="0" applyFont="1" applyFill="1" applyBorder="1" applyAlignment="1" applyProtection="1">
      <alignment horizontal="left" vertical="center"/>
    </xf>
    <xf numFmtId="0" fontId="4" fillId="0" borderId="0" xfId="0" applyFont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Fill="1" applyBorder="1" applyAlignment="1" applyProtection="1">
      <alignment horizontal="center" vertical="center"/>
      <protection locked="0"/>
    </xf>
    <xf numFmtId="20" fontId="7" fillId="2" borderId="1" xfId="0" applyNumberFormat="1" applyFont="1" applyFill="1" applyBorder="1" applyAlignment="1" applyProtection="1">
      <alignment horizontal="center" vertical="center"/>
    </xf>
    <xf numFmtId="176" fontId="7" fillId="2" borderId="1" xfId="0" applyNumberFormat="1" applyFont="1" applyFill="1" applyBorder="1" applyAlignment="1" applyProtection="1">
      <alignment horizontal="center" vertical="center"/>
    </xf>
    <xf numFmtId="176" fontId="7" fillId="3" borderId="1" xfId="0" applyNumberFormat="1" applyFont="1" applyFill="1" applyBorder="1" applyAlignment="1" applyProtection="1">
      <alignment horizontal="center" vertical="center"/>
    </xf>
    <xf numFmtId="0" fontId="15" fillId="4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/>
    </xf>
    <xf numFmtId="0" fontId="11" fillId="0" borderId="0" xfId="0" applyFont="1" applyFill="1" applyBorder="1" applyAlignment="1" applyProtection="1">
      <alignment vertical="center"/>
      <protection locked="0"/>
    </xf>
    <xf numFmtId="0" fontId="11" fillId="0" borderId="0" xfId="0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11" fillId="0" borderId="0" xfId="0" applyFont="1" applyFill="1" applyBorder="1" applyAlignment="1" applyProtection="1">
      <alignment horizontal="right" vertic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5" borderId="1" xfId="0" applyFont="1" applyFill="1" applyBorder="1" applyAlignment="1" applyProtection="1">
      <alignment horizontal="center" vertical="center"/>
    </xf>
    <xf numFmtId="0" fontId="18" fillId="2" borderId="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/>
      <protection locked="0"/>
    </xf>
    <xf numFmtId="0" fontId="13" fillId="7" borderId="7" xfId="0" applyFont="1" applyFill="1" applyBorder="1" applyAlignment="1" applyProtection="1">
      <alignment horizontal="center" vertical="center"/>
    </xf>
    <xf numFmtId="0" fontId="3" fillId="5" borderId="1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  <protection locked="0"/>
    </xf>
    <xf numFmtId="0" fontId="22" fillId="4" borderId="7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Protection="1"/>
    <xf numFmtId="0" fontId="4" fillId="5" borderId="5" xfId="0" applyFont="1" applyFill="1" applyBorder="1" applyAlignment="1" applyProtection="1">
      <alignment horizontal="center" vertical="center"/>
    </xf>
    <xf numFmtId="0" fontId="12" fillId="5" borderId="13" xfId="0" applyFont="1" applyFill="1" applyBorder="1" applyAlignment="1" applyProtection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9" fillId="5" borderId="13" xfId="0" applyFont="1" applyFill="1" applyBorder="1" applyAlignment="1" applyProtection="1">
      <alignment horizontal="center" vertical="center"/>
    </xf>
    <xf numFmtId="0" fontId="12" fillId="5" borderId="11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2" fillId="3" borderId="13" xfId="0" applyFont="1" applyFill="1" applyBorder="1" applyAlignment="1" applyProtection="1">
      <alignment horizontal="center" vertical="center"/>
    </xf>
    <xf numFmtId="0" fontId="14" fillId="3" borderId="1" xfId="0" applyFont="1" applyFill="1" applyBorder="1" applyAlignment="1" applyProtection="1">
      <alignment horizontal="center" vertical="center"/>
    </xf>
    <xf numFmtId="0" fontId="19" fillId="3" borderId="13" xfId="0" applyFont="1" applyFill="1" applyBorder="1" applyAlignment="1" applyProtection="1">
      <alignment horizontal="center" vertical="center"/>
    </xf>
    <xf numFmtId="0" fontId="12" fillId="3" borderId="11" xfId="0" applyFont="1" applyFill="1" applyBorder="1" applyAlignment="1" applyProtection="1">
      <alignment horizontal="center" vertical="center"/>
    </xf>
    <xf numFmtId="49" fontId="2" fillId="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5" borderId="4" xfId="0" applyNumberFormat="1" applyFont="1" applyFill="1" applyBorder="1" applyAlignment="1" applyProtection="1">
      <alignment horizontal="center" vertical="center"/>
      <protection locked="0"/>
    </xf>
    <xf numFmtId="49" fontId="2" fillId="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3" borderId="4" xfId="0" applyNumberFormat="1" applyFont="1" applyFill="1" applyBorder="1" applyAlignment="1" applyProtection="1">
      <alignment horizontal="center" vertical="center"/>
      <protection locked="0"/>
    </xf>
    <xf numFmtId="0" fontId="2" fillId="5" borderId="1" xfId="0" applyNumberFormat="1" applyFont="1" applyFill="1" applyBorder="1" applyAlignment="1" applyProtection="1">
      <alignment horizontal="center" vertical="center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31" fontId="2" fillId="5" borderId="1" xfId="0" applyNumberFormat="1" applyFont="1" applyFill="1" applyBorder="1" applyAlignment="1" applyProtection="1">
      <alignment horizontal="center" vertical="center"/>
      <protection locked="0"/>
    </xf>
    <xf numFmtId="0" fontId="2" fillId="5" borderId="2" xfId="0" applyFont="1" applyFill="1" applyBorder="1" applyAlignment="1" applyProtection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/>
    <xf numFmtId="0" fontId="4" fillId="5" borderId="6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center" vertical="center"/>
    </xf>
    <xf numFmtId="0" fontId="4" fillId="8" borderId="8" xfId="0" applyFont="1" applyFill="1" applyBorder="1" applyAlignment="1" applyProtection="1">
      <alignment horizontal="center" vertical="center"/>
      <protection locked="0"/>
    </xf>
    <xf numFmtId="0" fontId="23" fillId="8" borderId="4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vertical="center"/>
      <protection locked="0"/>
    </xf>
    <xf numFmtId="0" fontId="11" fillId="8" borderId="9" xfId="0" applyFont="1" applyFill="1" applyBorder="1" applyAlignment="1" applyProtection="1">
      <alignment horizontal="center" vertical="center"/>
      <protection locked="0"/>
    </xf>
    <xf numFmtId="0" fontId="10" fillId="8" borderId="9" xfId="0" applyFont="1" applyFill="1" applyBorder="1" applyAlignment="1" applyProtection="1">
      <alignment horizontal="center" vertical="center"/>
      <protection locked="0"/>
    </xf>
    <xf numFmtId="0" fontId="11" fillId="8" borderId="9" xfId="0" applyFont="1" applyFill="1" applyBorder="1" applyAlignment="1" applyProtection="1">
      <alignment horizontal="left" vertical="center"/>
      <protection locked="0"/>
    </xf>
    <xf numFmtId="0" fontId="11" fillId="8" borderId="10" xfId="0" applyFont="1" applyFill="1" applyBorder="1" applyAlignment="1" applyProtection="1">
      <alignment horizontal="left" vertical="center"/>
      <protection locked="0"/>
    </xf>
    <xf numFmtId="0" fontId="14" fillId="8" borderId="8" xfId="0" applyFont="1" applyFill="1" applyBorder="1" applyAlignment="1" applyProtection="1">
      <alignment horizontal="center"/>
      <protection locked="0"/>
    </xf>
    <xf numFmtId="0" fontId="4" fillId="8" borderId="11" xfId="0" applyFont="1" applyFill="1" applyBorder="1" applyAlignment="1" applyProtection="1">
      <alignment horizontal="center" vertical="center"/>
      <protection locked="0"/>
    </xf>
    <xf numFmtId="0" fontId="9" fillId="8" borderId="1" xfId="0" applyFont="1" applyFill="1" applyBorder="1" applyAlignment="1" applyProtection="1">
      <alignment horizontal="center" vertical="center"/>
      <protection locked="0"/>
    </xf>
    <xf numFmtId="0" fontId="14" fillId="8" borderId="1" xfId="0" applyFont="1" applyFill="1" applyBorder="1" applyAlignment="1" applyProtection="1">
      <alignment horizontal="center" vertical="center"/>
      <protection locked="0"/>
    </xf>
    <xf numFmtId="0" fontId="14" fillId="8" borderId="3" xfId="0" applyFont="1" applyFill="1" applyBorder="1" applyAlignment="1" applyProtection="1">
      <alignment horizontal="center" vertic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3" fillId="7" borderId="1" xfId="0" applyFont="1" applyFill="1" applyBorder="1" applyAlignment="1" applyProtection="1">
      <alignment horizontal="center" vertical="center"/>
    </xf>
    <xf numFmtId="22" fontId="13" fillId="7" borderId="4" xfId="0" applyNumberFormat="1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 applyProtection="1">
      <alignment horizontal="center" vertical="center"/>
    </xf>
    <xf numFmtId="0" fontId="13" fillId="10" borderId="1" xfId="0" applyFont="1" applyFill="1" applyBorder="1" applyAlignment="1" applyProtection="1">
      <alignment horizontal="center" vertical="center" wrapText="1"/>
      <protection locked="0"/>
    </xf>
    <xf numFmtId="0" fontId="4" fillId="11" borderId="1" xfId="0" applyFont="1" applyFill="1" applyBorder="1" applyAlignment="1" applyProtection="1">
      <alignment horizontal="center" vertical="center" wrapText="1"/>
      <protection locked="0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8" fillId="3" borderId="2" xfId="0" applyFont="1" applyFill="1" applyBorder="1" applyAlignment="1" applyProtection="1">
      <alignment horizontal="center" vertical="center"/>
    </xf>
    <xf numFmtId="0" fontId="2" fillId="3" borderId="1" xfId="0" applyNumberFormat="1" applyFont="1" applyFill="1" applyBorder="1" applyAlignment="1" applyProtection="1">
      <alignment horizontal="center" vertical="center"/>
      <protection locked="0"/>
    </xf>
    <xf numFmtId="14" fontId="2" fillId="3" borderId="1" xfId="0" applyNumberFormat="1" applyFont="1" applyFill="1" applyBorder="1" applyAlignment="1" applyProtection="1">
      <alignment horizontal="center" vertical="center"/>
      <protection locked="0"/>
    </xf>
    <xf numFmtId="31" fontId="2" fillId="3" borderId="1" xfId="0" applyNumberFormat="1" applyFont="1" applyFill="1" applyBorder="1" applyAlignment="1" applyProtection="1">
      <alignment horizontal="center" vertical="center"/>
      <protection locked="0"/>
    </xf>
    <xf numFmtId="20" fontId="7" fillId="3" borderId="1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0" fontId="2" fillId="12" borderId="1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2" fillId="13" borderId="1" xfId="0" applyFont="1" applyFill="1" applyBorder="1" applyAlignment="1" applyProtection="1">
      <alignment horizontal="center" vertical="center"/>
    </xf>
    <xf numFmtId="49" fontId="2" fillId="13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3" borderId="4" xfId="0" applyNumberFormat="1" applyFont="1" applyFill="1" applyBorder="1" applyAlignment="1" applyProtection="1">
      <alignment horizontal="center" vertical="center"/>
      <protection locked="0"/>
    </xf>
    <xf numFmtId="0" fontId="4" fillId="13" borderId="1" xfId="0" applyFont="1" applyFill="1" applyBorder="1" applyAlignment="1" applyProtection="1">
      <alignment vertical="center"/>
    </xf>
    <xf numFmtId="0" fontId="4" fillId="13" borderId="6" xfId="0" applyFont="1" applyFill="1" applyBorder="1" applyAlignment="1" applyProtection="1">
      <alignment vertical="center"/>
    </xf>
    <xf numFmtId="0" fontId="4" fillId="13" borderId="5" xfId="0" applyFont="1" applyFill="1" applyBorder="1" applyAlignment="1" applyProtection="1">
      <alignment horizontal="center" vertical="center"/>
    </xf>
    <xf numFmtId="0" fontId="12" fillId="13" borderId="13" xfId="0" applyFont="1" applyFill="1" applyBorder="1" applyAlignment="1" applyProtection="1">
      <alignment horizontal="center" vertical="center"/>
    </xf>
    <xf numFmtId="0" fontId="19" fillId="13" borderId="13" xfId="0" applyFont="1" applyFill="1" applyBorder="1" applyAlignment="1" applyProtection="1">
      <alignment horizontal="center" vertical="center"/>
    </xf>
    <xf numFmtId="0" fontId="12" fillId="13" borderId="1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center" vertical="center"/>
    </xf>
    <xf numFmtId="0" fontId="4" fillId="13" borderId="6" xfId="0" applyFont="1" applyFill="1" applyBorder="1" applyAlignment="1" applyProtection="1">
      <alignment horizontal="center" vertical="center"/>
    </xf>
    <xf numFmtId="0" fontId="3" fillId="13" borderId="1" xfId="0" applyFont="1" applyFill="1" applyBorder="1" applyAlignment="1" applyProtection="1">
      <alignment horizontal="center" vertical="center"/>
    </xf>
    <xf numFmtId="0" fontId="2" fillId="13" borderId="1" xfId="0" applyFont="1" applyFill="1" applyBorder="1" applyAlignment="1" applyProtection="1">
      <alignment horizontal="center" vertical="center"/>
      <protection locked="0"/>
    </xf>
    <xf numFmtId="0" fontId="18" fillId="13" borderId="2" xfId="0" applyFont="1" applyFill="1" applyBorder="1" applyAlignment="1" applyProtection="1">
      <alignment horizontal="center" vertical="center"/>
    </xf>
    <xf numFmtId="0" fontId="2" fillId="13" borderId="1" xfId="0" applyNumberFormat="1" applyFont="1" applyFill="1" applyBorder="1" applyAlignment="1" applyProtection="1">
      <alignment horizontal="center" vertical="center"/>
      <protection locked="0"/>
    </xf>
    <xf numFmtId="14" fontId="2" fillId="13" borderId="1" xfId="0" applyNumberFormat="1" applyFont="1" applyFill="1" applyBorder="1" applyAlignment="1" applyProtection="1">
      <alignment horizontal="center" vertical="center"/>
      <protection locked="0"/>
    </xf>
    <xf numFmtId="31" fontId="2" fillId="13" borderId="1" xfId="0" applyNumberFormat="1" applyFont="1" applyFill="1" applyBorder="1" applyAlignment="1" applyProtection="1">
      <alignment horizontal="center" vertical="center"/>
      <protection locked="0"/>
    </xf>
    <xf numFmtId="20" fontId="7" fillId="13" borderId="1" xfId="0" applyNumberFormat="1" applyFont="1" applyFill="1" applyBorder="1" applyAlignment="1" applyProtection="1">
      <alignment horizontal="center" vertical="center"/>
    </xf>
    <xf numFmtId="176" fontId="7" fillId="13" borderId="1" xfId="0" applyNumberFormat="1" applyFont="1" applyFill="1" applyBorder="1" applyAlignment="1" applyProtection="1">
      <alignment horizontal="center" vertical="center"/>
    </xf>
    <xf numFmtId="0" fontId="14" fillId="13" borderId="1" xfId="0" applyFont="1" applyFill="1" applyBorder="1" applyAlignment="1" applyProtection="1">
      <alignment horizontal="center" vertical="center"/>
    </xf>
    <xf numFmtId="0" fontId="4" fillId="13" borderId="1" xfId="0" applyFont="1" applyFill="1" applyBorder="1" applyAlignment="1" applyProtection="1">
      <alignment horizontal="left" vertical="center"/>
    </xf>
    <xf numFmtId="0" fontId="6" fillId="13" borderId="1" xfId="0" applyFont="1" applyFill="1" applyBorder="1" applyAlignment="1" applyProtection="1">
      <alignment horizontal="center" vertical="center"/>
    </xf>
    <xf numFmtId="0" fontId="4" fillId="14" borderId="1" xfId="0" applyFont="1" applyFill="1" applyBorder="1" applyAlignment="1" applyProtection="1">
      <alignment horizontal="center" vertical="center"/>
    </xf>
    <xf numFmtId="0" fontId="4" fillId="14" borderId="6" xfId="0" applyFont="1" applyFill="1" applyBorder="1" applyAlignment="1" applyProtection="1">
      <alignment horizontal="center" vertical="center"/>
    </xf>
    <xf numFmtId="49" fontId="2" fillId="15" borderId="4" xfId="0" applyNumberFormat="1" applyFont="1" applyFill="1" applyBorder="1" applyAlignment="1" applyProtection="1">
      <alignment horizontal="center" vertical="center" wrapText="1"/>
      <protection locked="0"/>
    </xf>
    <xf numFmtId="22" fontId="2" fillId="15" borderId="4" xfId="0" applyNumberFormat="1" applyFont="1" applyFill="1" applyBorder="1" applyAlignment="1" applyProtection="1">
      <alignment horizontal="center" vertical="center"/>
      <protection locked="0"/>
    </xf>
    <xf numFmtId="0" fontId="4" fillId="15" borderId="1" xfId="0" applyFont="1" applyFill="1" applyBorder="1" applyAlignment="1" applyProtection="1">
      <alignment horizontal="center" vertical="center"/>
    </xf>
    <xf numFmtId="0" fontId="4" fillId="15" borderId="6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</xf>
    <xf numFmtId="0" fontId="12" fillId="15" borderId="13" xfId="0" applyFont="1" applyFill="1" applyBorder="1" applyAlignment="1" applyProtection="1">
      <alignment horizontal="center" vertical="center"/>
    </xf>
    <xf numFmtId="0" fontId="12" fillId="15" borderId="11" xfId="0" applyFont="1" applyFill="1" applyBorder="1" applyAlignment="1" applyProtection="1">
      <alignment horizontal="center" vertical="center"/>
    </xf>
    <xf numFmtId="0" fontId="3" fillId="15" borderId="1" xfId="0" applyFont="1" applyFill="1" applyBorder="1" applyAlignment="1" applyProtection="1">
      <alignment horizontal="center" vertical="center"/>
    </xf>
    <xf numFmtId="0" fontId="2" fillId="15" borderId="1" xfId="0" applyFont="1" applyFill="1" applyBorder="1" applyAlignment="1" applyProtection="1">
      <alignment horizontal="center" vertical="center"/>
      <protection locked="0"/>
    </xf>
    <xf numFmtId="0" fontId="18" fillId="15" borderId="2" xfId="0" applyFont="1" applyFill="1" applyBorder="1" applyAlignment="1" applyProtection="1">
      <alignment horizontal="center" vertical="center"/>
    </xf>
    <xf numFmtId="0" fontId="2" fillId="15" borderId="1" xfId="0" applyNumberFormat="1" applyFont="1" applyFill="1" applyBorder="1" applyAlignment="1" applyProtection="1">
      <alignment horizontal="center" vertical="center"/>
      <protection locked="0"/>
    </xf>
    <xf numFmtId="14" fontId="2" fillId="15" borderId="1" xfId="0" applyNumberFormat="1" applyFont="1" applyFill="1" applyBorder="1" applyAlignment="1" applyProtection="1">
      <alignment horizontal="center" vertical="center"/>
      <protection locked="0"/>
    </xf>
    <xf numFmtId="31" fontId="2" fillId="15" borderId="1" xfId="0" applyNumberFormat="1" applyFont="1" applyFill="1" applyBorder="1" applyAlignment="1" applyProtection="1">
      <alignment horizontal="center" vertical="center"/>
      <protection locked="0"/>
    </xf>
    <xf numFmtId="0" fontId="4" fillId="15" borderId="5" xfId="0" applyFont="1" applyFill="1" applyBorder="1" applyAlignment="1" applyProtection="1">
      <alignment horizontal="center" vertical="center"/>
    </xf>
    <xf numFmtId="20" fontId="7" fillId="15" borderId="1" xfId="0" applyNumberFormat="1" applyFont="1" applyFill="1" applyBorder="1" applyAlignment="1" applyProtection="1">
      <alignment horizontal="center" vertical="center"/>
    </xf>
    <xf numFmtId="176" fontId="7" fillId="15" borderId="1" xfId="0" applyNumberFormat="1" applyFont="1" applyFill="1" applyBorder="1" applyAlignment="1" applyProtection="1">
      <alignment horizontal="center" vertical="center"/>
    </xf>
    <xf numFmtId="0" fontId="14" fillId="15" borderId="1" xfId="0" applyFont="1" applyFill="1" applyBorder="1" applyAlignment="1" applyProtection="1">
      <alignment horizontal="center" vertical="center"/>
    </xf>
    <xf numFmtId="0" fontId="4" fillId="15" borderId="1" xfId="0" applyFont="1" applyFill="1" applyBorder="1" applyAlignment="1" applyProtection="1">
      <alignment horizontal="left" vertical="center"/>
    </xf>
    <xf numFmtId="0" fontId="6" fillId="15" borderId="1" xfId="0" applyFont="1" applyFill="1" applyBorder="1" applyAlignment="1" applyProtection="1">
      <alignment horizontal="center" vertical="center"/>
    </xf>
    <xf numFmtId="0" fontId="19" fillId="15" borderId="13" xfId="0" applyFont="1" applyFill="1" applyBorder="1" applyAlignment="1" applyProtection="1">
      <alignment horizontal="center" vertical="center"/>
    </xf>
    <xf numFmtId="177" fontId="11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5" borderId="5" xfId="0" applyFont="1" applyFill="1" applyBorder="1" applyAlignment="1" applyProtection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6" borderId="8" xfId="0" applyFont="1" applyFill="1" applyBorder="1" applyAlignment="1" applyProtection="1">
      <alignment horizontal="left" vertical="top" wrapText="1"/>
      <protection locked="0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0" fillId="0" borderId="1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12" xfId="0" applyBorder="1" applyAlignment="1">
      <alignment horizontal="left" vertical="top" wrapText="1"/>
    </xf>
    <xf numFmtId="0" fontId="26" fillId="6" borderId="2" xfId="0" applyFont="1" applyFill="1" applyBorder="1" applyAlignment="1" applyProtection="1">
      <alignment horizontal="left" vertical="top" wrapText="1"/>
      <protection locked="0"/>
    </xf>
    <xf numFmtId="0" fontId="27" fillId="0" borderId="3" xfId="0" applyFont="1" applyBorder="1" applyAlignment="1">
      <alignment horizontal="left" vertical="top" wrapText="1"/>
    </xf>
    <xf numFmtId="0" fontId="27" fillId="0" borderId="4" xfId="0" applyFont="1" applyBorder="1" applyAlignment="1">
      <alignment wrapText="1"/>
    </xf>
    <xf numFmtId="0" fontId="4" fillId="6" borderId="2" xfId="0" applyFont="1" applyFill="1" applyBorder="1" applyAlignment="1" applyProtection="1">
      <alignment horizontal="left" vertical="top" wrapText="1"/>
      <protection locked="0"/>
    </xf>
    <xf numFmtId="0" fontId="25" fillId="0" borderId="3" xfId="0" applyFont="1" applyBorder="1" applyAlignment="1">
      <alignment horizontal="left" vertical="top" wrapText="1"/>
    </xf>
    <xf numFmtId="0" fontId="25" fillId="0" borderId="4" xfId="0" applyFont="1" applyBorder="1" applyAlignment="1">
      <alignment wrapText="1"/>
    </xf>
    <xf numFmtId="0" fontId="21" fillId="4" borderId="2" xfId="0" applyFont="1" applyFill="1" applyBorder="1" applyAlignment="1" applyProtection="1">
      <alignment horizontal="center" vertical="center"/>
      <protection locked="0"/>
    </xf>
    <xf numFmtId="0" fontId="21" fillId="4" borderId="4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</xf>
    <xf numFmtId="0" fontId="3" fillId="5" borderId="12" xfId="0" applyFont="1" applyFill="1" applyBorder="1" applyAlignment="1" applyProtection="1">
      <alignment horizontal="center" vertical="center"/>
    </xf>
    <xf numFmtId="0" fontId="3" fillId="5" borderId="2" xfId="0" applyFont="1" applyFill="1" applyBorder="1" applyAlignment="1" applyProtection="1">
      <alignment horizontal="center" vertical="center"/>
    </xf>
    <xf numFmtId="0" fontId="3" fillId="5" borderId="3" xfId="0" applyFont="1" applyFill="1" applyBorder="1" applyAlignment="1" applyProtection="1">
      <alignment horizontal="center" vertical="center"/>
    </xf>
    <xf numFmtId="0" fontId="3" fillId="5" borderId="4" xfId="0" applyFont="1" applyFill="1" applyBorder="1" applyAlignment="1" applyProtection="1">
      <alignment horizontal="center" vertical="center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6" fillId="7" borderId="2" xfId="0" applyFont="1" applyFill="1" applyBorder="1" applyAlignment="1" applyProtection="1">
      <alignment horizontal="center" vertical="center"/>
    </xf>
    <xf numFmtId="0" fontId="16" fillId="7" borderId="4" xfId="0" applyFont="1" applyFill="1" applyBorder="1" applyAlignment="1" applyProtection="1">
      <alignment horizontal="center" vertical="center"/>
    </xf>
    <xf numFmtId="0" fontId="13" fillId="7" borderId="2" xfId="0" applyFont="1" applyFill="1" applyBorder="1" applyAlignment="1" applyProtection="1">
      <alignment horizontal="center" vertical="center"/>
    </xf>
    <xf numFmtId="0" fontId="13" fillId="7" borderId="4" xfId="0" applyFont="1" applyFill="1" applyBorder="1" applyAlignment="1" applyProtection="1">
      <alignment horizontal="center" vertical="center"/>
    </xf>
    <xf numFmtId="0" fontId="13" fillId="7" borderId="3" xfId="0" applyFont="1" applyFill="1" applyBorder="1" applyAlignment="1" applyProtection="1">
      <alignment horizontal="center" vertical="center"/>
    </xf>
    <xf numFmtId="0" fontId="2" fillId="5" borderId="2" xfId="0" applyFont="1" applyFill="1" applyBorder="1" applyAlignment="1" applyProtection="1">
      <alignment horizontal="center" vertical="center"/>
    </xf>
    <xf numFmtId="0" fontId="2" fillId="5" borderId="4" xfId="0" applyFont="1" applyFill="1" applyBorder="1" applyAlignment="1" applyProtection="1">
      <alignment horizontal="center" vertical="center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6" fillId="5" borderId="2" xfId="0" applyFont="1" applyFill="1" applyBorder="1" applyAlignment="1" applyProtection="1">
      <alignment horizontal="center" vertical="center"/>
    </xf>
    <xf numFmtId="0" fontId="6" fillId="5" borderId="4" xfId="0" applyFont="1" applyFill="1" applyBorder="1" applyAlignment="1" applyProtection="1">
      <alignment horizontal="center" vertical="center"/>
    </xf>
    <xf numFmtId="0" fontId="16" fillId="8" borderId="5" xfId="0" applyFont="1" applyFill="1" applyBorder="1" applyAlignment="1" applyProtection="1">
      <alignment horizontal="center" vertical="center" wrapText="1"/>
      <protection locked="0"/>
    </xf>
    <xf numFmtId="0" fontId="16" fillId="8" borderId="6" xfId="0" applyFont="1" applyFill="1" applyBorder="1" applyAlignment="1" applyProtection="1">
      <alignment horizontal="center" vertical="center" wrapText="1"/>
      <protection locked="0"/>
    </xf>
    <xf numFmtId="0" fontId="19" fillId="5" borderId="2" xfId="0" applyFont="1" applyFill="1" applyBorder="1" applyAlignment="1" applyProtection="1">
      <alignment horizontal="center" vertical="center"/>
    </xf>
    <xf numFmtId="0" fontId="19" fillId="5" borderId="3" xfId="0" applyFont="1" applyFill="1" applyBorder="1" applyAlignment="1" applyProtection="1">
      <alignment horizontal="center" vertical="center"/>
    </xf>
    <xf numFmtId="0" fontId="19" fillId="5" borderId="4" xfId="0" applyFont="1" applyFill="1" applyBorder="1" applyAlignment="1" applyProtection="1">
      <alignment horizontal="center" vertical="center"/>
    </xf>
    <xf numFmtId="0" fontId="2" fillId="5" borderId="3" xfId="0" applyFont="1" applyFill="1" applyBorder="1" applyAlignment="1" applyProtection="1">
      <alignment horizontal="center" vertical="center"/>
    </xf>
    <xf numFmtId="0" fontId="14" fillId="8" borderId="10" xfId="0" applyFont="1" applyFill="1" applyBorder="1" applyAlignment="1" applyProtection="1">
      <alignment horizontal="center" vertical="center" wrapText="1"/>
      <protection locked="0"/>
    </xf>
    <xf numFmtId="0" fontId="14" fillId="8" borderId="12" xfId="0" applyFont="1" applyFill="1" applyBorder="1" applyAlignment="1" applyProtection="1">
      <alignment horizontal="center" vertical="center" wrapText="1"/>
      <protection locked="0"/>
    </xf>
    <xf numFmtId="0" fontId="16" fillId="8" borderId="8" xfId="0" applyFont="1" applyFill="1" applyBorder="1" applyAlignment="1" applyProtection="1">
      <alignment horizontal="center" vertical="center"/>
      <protection locked="0"/>
    </xf>
    <xf numFmtId="0" fontId="16" fillId="8" borderId="10" xfId="0" applyFont="1" applyFill="1" applyBorder="1" applyAlignment="1" applyProtection="1">
      <alignment horizontal="center" vertical="center"/>
      <protection locked="0"/>
    </xf>
    <xf numFmtId="0" fontId="16" fillId="8" borderId="11" xfId="0" applyFont="1" applyFill="1" applyBorder="1" applyAlignment="1" applyProtection="1">
      <alignment horizontal="center" vertical="center"/>
      <protection locked="0"/>
    </xf>
    <xf numFmtId="0" fontId="16" fillId="8" borderId="12" xfId="0" applyFont="1" applyFill="1" applyBorder="1" applyAlignment="1" applyProtection="1">
      <alignment horizontal="center" vertical="center"/>
      <protection locked="0"/>
    </xf>
    <xf numFmtId="0" fontId="2" fillId="8" borderId="5" xfId="0" applyFont="1" applyFill="1" applyBorder="1" applyAlignment="1" applyProtection="1">
      <alignment horizontal="center" vertical="center"/>
      <protection locked="0"/>
    </xf>
    <xf numFmtId="0" fontId="2" fillId="8" borderId="6" xfId="0" applyFont="1" applyFill="1" applyBorder="1" applyAlignment="1" applyProtection="1">
      <alignment horizontal="center" vertical="center"/>
      <protection locked="0"/>
    </xf>
    <xf numFmtId="0" fontId="5" fillId="8" borderId="2" xfId="0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 applyProtection="1">
      <alignment horizontal="center" vertical="center"/>
    </xf>
    <xf numFmtId="0" fontId="5" fillId="8" borderId="4" xfId="0" applyFont="1" applyFill="1" applyBorder="1" applyAlignment="1" applyProtection="1">
      <alignment horizontal="center" vertical="center"/>
    </xf>
    <xf numFmtId="0" fontId="4" fillId="8" borderId="2" xfId="0" applyFont="1" applyFill="1" applyBorder="1" applyAlignment="1" applyProtection="1">
      <alignment horizontal="center" vertical="center"/>
      <protection locked="0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24" fillId="8" borderId="3" xfId="0" applyFont="1" applyFill="1" applyBorder="1" applyAlignment="1" applyProtection="1">
      <alignment horizontal="center" vertical="center"/>
      <protection locked="0"/>
    </xf>
    <xf numFmtId="0" fontId="24" fillId="8" borderId="4" xfId="0" applyFont="1" applyFill="1" applyBorder="1" applyAlignment="1" applyProtection="1">
      <alignment horizontal="center" vertical="center"/>
      <protection locked="0"/>
    </xf>
    <xf numFmtId="177" fontId="11" fillId="8" borderId="2" xfId="0" applyNumberFormat="1" applyFont="1" applyFill="1" applyBorder="1" applyAlignment="1" applyProtection="1">
      <alignment horizontal="center" vertical="center"/>
      <protection locked="0"/>
    </xf>
    <xf numFmtId="177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/>
      <protection locked="0"/>
    </xf>
    <xf numFmtId="0" fontId="14" fillId="8" borderId="6" xfId="0" applyFont="1" applyFill="1" applyBorder="1" applyAlignment="1" applyProtection="1">
      <alignment horizontal="center" vertical="center"/>
      <protection locked="0"/>
    </xf>
    <xf numFmtId="0" fontId="14" fillId="8" borderId="5" xfId="0" applyFont="1" applyFill="1" applyBorder="1" applyAlignment="1" applyProtection="1">
      <alignment horizontal="center" vertical="center" wrapText="1"/>
      <protection locked="0"/>
    </xf>
    <xf numFmtId="0" fontId="14" fillId="8" borderId="6" xfId="0" applyFont="1" applyFill="1" applyBorder="1" applyAlignment="1" applyProtection="1">
      <alignment horizontal="center" vertical="center" wrapText="1"/>
      <protection locked="0"/>
    </xf>
    <xf numFmtId="0" fontId="14" fillId="8" borderId="11" xfId="0" applyFont="1" applyFill="1" applyBorder="1" applyAlignment="1" applyProtection="1">
      <alignment horizontal="center" vertical="center"/>
      <protection locked="0"/>
    </xf>
    <xf numFmtId="0" fontId="14" fillId="8" borderId="12" xfId="0" applyFont="1" applyFill="1" applyBorder="1" applyAlignment="1" applyProtection="1">
      <alignment horizontal="center" vertical="center"/>
      <protection locked="0"/>
    </xf>
    <xf numFmtId="0" fontId="14" fillId="8" borderId="2" xfId="0" applyFont="1" applyFill="1" applyBorder="1" applyAlignment="1" applyProtection="1">
      <alignment horizontal="center" vertical="center"/>
      <protection locked="0"/>
    </xf>
    <xf numFmtId="0" fontId="14" fillId="8" borderId="4" xfId="0" applyFont="1" applyFill="1" applyBorder="1" applyAlignment="1" applyProtection="1">
      <alignment horizontal="center" vertical="center"/>
      <protection locked="0"/>
    </xf>
    <xf numFmtId="0" fontId="19" fillId="3" borderId="2" xfId="0" applyFont="1" applyFill="1" applyBorder="1" applyAlignment="1" applyProtection="1">
      <alignment horizontal="center" vertical="center"/>
    </xf>
    <xf numFmtId="0" fontId="19" fillId="3" borderId="3" xfId="0" applyFont="1" applyFill="1" applyBorder="1" applyAlignment="1" applyProtection="1">
      <alignment horizontal="center" vertical="center"/>
    </xf>
    <xf numFmtId="0" fontId="19" fillId="3" borderId="4" xfId="0" applyFont="1" applyFill="1" applyBorder="1" applyAlignment="1" applyProtection="1">
      <alignment horizontal="center" vertical="center"/>
    </xf>
    <xf numFmtId="0" fontId="2" fillId="3" borderId="2" xfId="0" applyFont="1" applyFill="1" applyBorder="1" applyAlignment="1" applyProtection="1">
      <alignment horizontal="center" vertical="center"/>
    </xf>
    <xf numFmtId="0" fontId="2" fillId="3" borderId="4" xfId="0" applyFont="1" applyFill="1" applyBorder="1" applyAlignment="1" applyProtection="1">
      <alignment horizontal="center" vertical="center"/>
    </xf>
    <xf numFmtId="0" fontId="2" fillId="3" borderId="3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3" fillId="3" borderId="2" xfId="0" applyFont="1" applyFill="1" applyBorder="1" applyAlignment="1" applyProtection="1">
      <alignment horizontal="center" vertical="center"/>
    </xf>
    <xf numFmtId="0" fontId="3" fillId="3" borderId="3" xfId="0" applyFont="1" applyFill="1" applyBorder="1" applyAlignment="1" applyProtection="1">
      <alignment horizontal="center" vertical="center"/>
    </xf>
    <xf numFmtId="0" fontId="3" fillId="3" borderId="4" xfId="0" applyFont="1" applyFill="1" applyBorder="1" applyAlignment="1" applyProtection="1">
      <alignment horizontal="center" vertical="center"/>
    </xf>
    <xf numFmtId="0" fontId="3" fillId="3" borderId="7" xfId="0" applyFont="1" applyFill="1" applyBorder="1" applyAlignment="1" applyProtection="1">
      <alignment horizontal="center" vertical="center"/>
    </xf>
    <xf numFmtId="0" fontId="3" fillId="3" borderId="12" xfId="0" applyFont="1" applyFill="1" applyBorder="1" applyAlignment="1" applyProtection="1">
      <alignment horizontal="center" vertical="center"/>
    </xf>
    <xf numFmtId="0" fontId="17" fillId="3" borderId="5" xfId="0" applyFont="1" applyFill="1" applyBorder="1" applyAlignment="1" applyProtection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14" fillId="3" borderId="5" xfId="0" applyFont="1" applyFill="1" applyBorder="1" applyAlignment="1" applyProtection="1">
      <alignment horizontal="center" vertical="center" wrapText="1"/>
    </xf>
    <xf numFmtId="0" fontId="14" fillId="3" borderId="14" xfId="0" applyFont="1" applyFill="1" applyBorder="1" applyAlignment="1" applyProtection="1">
      <alignment horizontal="center" vertical="center" wrapText="1"/>
    </xf>
    <xf numFmtId="0" fontId="14" fillId="3" borderId="6" xfId="0" applyFont="1" applyFill="1" applyBorder="1" applyAlignment="1" applyProtection="1">
      <alignment horizontal="center" vertical="center" wrapText="1"/>
    </xf>
    <xf numFmtId="0" fontId="17" fillId="15" borderId="5" xfId="0" applyFont="1" applyFill="1" applyBorder="1" applyAlignment="1" applyProtection="1">
      <alignment horizontal="center" vertical="center" wrapText="1"/>
    </xf>
    <xf numFmtId="0" fontId="0" fillId="15" borderId="6" xfId="0" applyFill="1" applyBorder="1" applyAlignment="1">
      <alignment horizontal="center" vertical="center" wrapText="1"/>
    </xf>
    <xf numFmtId="0" fontId="6" fillId="15" borderId="2" xfId="0" applyFont="1" applyFill="1" applyBorder="1" applyAlignment="1" applyProtection="1">
      <alignment horizontal="center" vertical="center"/>
    </xf>
    <xf numFmtId="0" fontId="6" fillId="15" borderId="4" xfId="0" applyFont="1" applyFill="1" applyBorder="1" applyAlignment="1" applyProtection="1">
      <alignment horizontal="center" vertical="center"/>
    </xf>
    <xf numFmtId="0" fontId="14" fillId="15" borderId="5" xfId="0" applyFont="1" applyFill="1" applyBorder="1" applyAlignment="1" applyProtection="1">
      <alignment horizontal="center" vertical="center" wrapText="1"/>
    </xf>
    <xf numFmtId="0" fontId="14" fillId="15" borderId="14" xfId="0" applyFont="1" applyFill="1" applyBorder="1" applyAlignment="1" applyProtection="1">
      <alignment horizontal="center" vertical="center" wrapText="1"/>
    </xf>
    <xf numFmtId="0" fontId="14" fillId="15" borderId="6" xfId="0" applyFont="1" applyFill="1" applyBorder="1" applyAlignment="1" applyProtection="1">
      <alignment horizontal="center" vertical="center" wrapText="1"/>
    </xf>
    <xf numFmtId="0" fontId="3" fillId="15" borderId="2" xfId="0" applyFont="1" applyFill="1" applyBorder="1" applyAlignment="1" applyProtection="1">
      <alignment horizontal="center" vertical="center"/>
    </xf>
    <xf numFmtId="0" fontId="3" fillId="15" borderId="3" xfId="0" applyFont="1" applyFill="1" applyBorder="1" applyAlignment="1" applyProtection="1">
      <alignment horizontal="center" vertical="center"/>
    </xf>
    <xf numFmtId="0" fontId="3" fillId="15" borderId="4" xfId="0" applyFont="1" applyFill="1" applyBorder="1" applyAlignment="1" applyProtection="1">
      <alignment horizontal="center" vertical="center"/>
    </xf>
    <xf numFmtId="0" fontId="3" fillId="15" borderId="7" xfId="0" applyFont="1" applyFill="1" applyBorder="1" applyAlignment="1" applyProtection="1">
      <alignment horizontal="center" vertical="center"/>
    </xf>
    <xf numFmtId="0" fontId="3" fillId="15" borderId="12" xfId="0" applyFont="1" applyFill="1" applyBorder="1" applyAlignment="1" applyProtection="1">
      <alignment horizontal="center" vertical="center"/>
    </xf>
    <xf numFmtId="0" fontId="2" fillId="15" borderId="2" xfId="0" applyFont="1" applyFill="1" applyBorder="1" applyAlignment="1" applyProtection="1">
      <alignment horizontal="center" vertical="center"/>
    </xf>
    <xf numFmtId="0" fontId="2" fillId="15" borderId="4" xfId="0" applyFont="1" applyFill="1" applyBorder="1" applyAlignment="1" applyProtection="1">
      <alignment horizontal="center" vertical="center"/>
    </xf>
    <xf numFmtId="0" fontId="19" fillId="15" borderId="2" xfId="0" applyFont="1" applyFill="1" applyBorder="1" applyAlignment="1" applyProtection="1">
      <alignment horizontal="center" vertical="center"/>
    </xf>
    <xf numFmtId="0" fontId="19" fillId="15" borderId="3" xfId="0" applyFont="1" applyFill="1" applyBorder="1" applyAlignment="1" applyProtection="1">
      <alignment horizontal="center" vertical="center"/>
    </xf>
    <xf numFmtId="0" fontId="19" fillId="15" borderId="4" xfId="0" applyFont="1" applyFill="1" applyBorder="1" applyAlignment="1" applyProtection="1">
      <alignment horizontal="center" vertical="center"/>
    </xf>
    <xf numFmtId="0" fontId="2" fillId="15" borderId="3" xfId="0" applyFont="1" applyFill="1" applyBorder="1" applyAlignment="1" applyProtection="1">
      <alignment horizontal="center" vertical="center"/>
    </xf>
    <xf numFmtId="0" fontId="17" fillId="13" borderId="5" xfId="0" applyFont="1" applyFill="1" applyBorder="1" applyAlignment="1" applyProtection="1">
      <alignment horizontal="center" vertical="center" wrapText="1"/>
    </xf>
    <xf numFmtId="0" fontId="0" fillId="13" borderId="6" xfId="0" applyFill="1" applyBorder="1" applyAlignment="1">
      <alignment horizontal="center" vertical="center" wrapText="1"/>
    </xf>
    <xf numFmtId="0" fontId="6" fillId="13" borderId="2" xfId="0" applyFont="1" applyFill="1" applyBorder="1" applyAlignment="1" applyProtection="1">
      <alignment horizontal="center" vertical="center"/>
    </xf>
    <xf numFmtId="0" fontId="6" fillId="13" borderId="4" xfId="0" applyFont="1" applyFill="1" applyBorder="1" applyAlignment="1" applyProtection="1">
      <alignment horizontal="center" vertical="center"/>
    </xf>
    <xf numFmtId="0" fontId="14" fillId="13" borderId="5" xfId="0" applyFont="1" applyFill="1" applyBorder="1" applyAlignment="1" applyProtection="1">
      <alignment horizontal="center" vertical="center" wrapText="1"/>
    </xf>
    <xf numFmtId="0" fontId="14" fillId="13" borderId="14" xfId="0" applyFont="1" applyFill="1" applyBorder="1" applyAlignment="1" applyProtection="1">
      <alignment horizontal="center" vertical="center" wrapText="1"/>
    </xf>
    <xf numFmtId="0" fontId="14" fillId="13" borderId="6" xfId="0" applyFont="1" applyFill="1" applyBorder="1" applyAlignment="1" applyProtection="1">
      <alignment horizontal="center" vertical="center" wrapText="1"/>
    </xf>
    <xf numFmtId="0" fontId="3" fillId="13" borderId="2" xfId="0" applyFont="1" applyFill="1" applyBorder="1" applyAlignment="1" applyProtection="1">
      <alignment horizontal="center" vertical="center"/>
    </xf>
    <xf numFmtId="0" fontId="3" fillId="13" borderId="3" xfId="0" applyFont="1" applyFill="1" applyBorder="1" applyAlignment="1" applyProtection="1">
      <alignment horizontal="center" vertical="center"/>
    </xf>
    <xf numFmtId="0" fontId="3" fillId="13" borderId="4" xfId="0" applyFont="1" applyFill="1" applyBorder="1" applyAlignment="1" applyProtection="1">
      <alignment horizontal="center" vertical="center"/>
    </xf>
    <xf numFmtId="0" fontId="3" fillId="13" borderId="7" xfId="0" applyFont="1" applyFill="1" applyBorder="1" applyAlignment="1" applyProtection="1">
      <alignment horizontal="center" vertical="center"/>
    </xf>
    <xf numFmtId="0" fontId="3" fillId="13" borderId="12" xfId="0" applyFont="1" applyFill="1" applyBorder="1" applyAlignment="1" applyProtection="1">
      <alignment horizontal="center" vertical="center"/>
    </xf>
    <xf numFmtId="0" fontId="2" fillId="13" borderId="2" xfId="0" applyFont="1" applyFill="1" applyBorder="1" applyAlignment="1" applyProtection="1">
      <alignment horizontal="center" vertical="center"/>
    </xf>
    <xf numFmtId="0" fontId="2" fillId="13" borderId="4" xfId="0" applyFont="1" applyFill="1" applyBorder="1" applyAlignment="1" applyProtection="1">
      <alignment horizontal="center" vertical="center"/>
    </xf>
    <xf numFmtId="0" fontId="19" fillId="13" borderId="2" xfId="0" applyFont="1" applyFill="1" applyBorder="1" applyAlignment="1" applyProtection="1">
      <alignment horizontal="center" vertical="center"/>
    </xf>
    <xf numFmtId="0" fontId="19" fillId="13" borderId="3" xfId="0" applyFont="1" applyFill="1" applyBorder="1" applyAlignment="1" applyProtection="1">
      <alignment horizontal="center" vertical="center"/>
    </xf>
    <xf numFmtId="0" fontId="19" fillId="13" borderId="4" xfId="0" applyFont="1" applyFill="1" applyBorder="1" applyAlignment="1" applyProtection="1">
      <alignment horizontal="center" vertical="center"/>
    </xf>
    <xf numFmtId="0" fontId="2" fillId="13" borderId="3" xfId="0" applyFont="1" applyFill="1" applyBorder="1" applyAlignment="1" applyProtection="1">
      <alignment horizontal="center" vertical="center"/>
    </xf>
  </cellXfs>
  <cellStyles count="1">
    <cellStyle name="常规" xfId="0" builtinId="0"/>
  </cellStyles>
  <dxfs count="1174"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EFFCD"/>
      <color rgb="FFFFFFCC"/>
      <color rgb="FFE0BAD2"/>
      <color rgb="FFCC33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4993" name="Button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152400</xdr:colOff>
          <xdr:row>1</xdr:row>
          <xdr:rowOff>9525</xdr:rowOff>
        </xdr:from>
        <xdr:to>
          <xdr:col>16</xdr:col>
          <xdr:colOff>1495425</xdr:colOff>
          <xdr:row>2</xdr:row>
          <xdr:rowOff>0</xdr:rowOff>
        </xdr:to>
        <xdr:sp macro="" textlink="">
          <xdr:nvSpPr>
            <xdr:cNvPr id="86017" name="Button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68580" rIns="54864" bIns="68580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华文仿宋"/>
                  <a:ea typeface="华文仿宋"/>
                </a:rPr>
                <a:t>更换值班员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U43"/>
  <sheetViews>
    <sheetView showGridLines="0" workbookViewId="0">
      <selection activeCell="O10" sqref="O10"/>
    </sheetView>
  </sheetViews>
  <sheetFormatPr defaultRowHeight="13.9" x14ac:dyDescent="0.4"/>
  <cols>
    <col min="1" max="1" width="9" style="6"/>
    <col min="4" max="4" width="5.59765625" customWidth="1"/>
    <col min="5" max="5" width="9" style="6"/>
    <col min="6" max="6" width="4.3984375" style="6" customWidth="1"/>
    <col min="7" max="7" width="10.46484375" style="73" customWidth="1"/>
    <col min="8" max="8" width="5.46484375" style="6" customWidth="1"/>
    <col min="9" max="9" width="10.46484375" style="6" customWidth="1"/>
    <col min="10" max="10" width="5.59765625" style="6" customWidth="1"/>
    <col min="11" max="11" width="10.46484375" style="6" customWidth="1"/>
    <col min="12" max="12" width="10.46484375" style="6" bestFit="1" customWidth="1"/>
    <col min="19" max="19" width="4.1328125" bestFit="1" customWidth="1"/>
    <col min="21" max="21" width="4.1328125" bestFit="1" customWidth="1"/>
    <col min="22" max="22" width="4.73046875" bestFit="1" customWidth="1"/>
  </cols>
  <sheetData>
    <row r="2" spans="1:21" x14ac:dyDescent="0.4">
      <c r="A2" s="6" t="s">
        <v>3</v>
      </c>
      <c r="B2" t="s">
        <v>4</v>
      </c>
      <c r="C2" t="s">
        <v>5</v>
      </c>
      <c r="E2" s="6" t="s">
        <v>0</v>
      </c>
      <c r="G2" s="73" t="s">
        <v>99</v>
      </c>
      <c r="H2" s="34"/>
      <c r="I2" s="34" t="s">
        <v>68</v>
      </c>
      <c r="J2" s="34"/>
      <c r="K2" s="34" t="s">
        <v>69</v>
      </c>
      <c r="M2" s="6" t="s">
        <v>47</v>
      </c>
    </row>
    <row r="3" spans="1:21" ht="20.25" x14ac:dyDescent="0.4">
      <c r="A3" s="6" t="s">
        <v>6</v>
      </c>
      <c r="B3" t="s">
        <v>7</v>
      </c>
      <c r="C3">
        <v>100</v>
      </c>
      <c r="E3" s="6" t="s">
        <v>2</v>
      </c>
      <c r="H3" s="34"/>
      <c r="J3" s="34"/>
      <c r="L3" s="11"/>
      <c r="M3" s="72" t="s">
        <v>45</v>
      </c>
      <c r="P3" s="35"/>
      <c r="Q3" s="36"/>
      <c r="R3" s="36"/>
      <c r="S3" s="37"/>
      <c r="T3" s="36"/>
      <c r="U3" s="37"/>
    </row>
    <row r="4" spans="1:21" ht="20.25" x14ac:dyDescent="0.6">
      <c r="A4" s="6" t="s">
        <v>44</v>
      </c>
      <c r="B4">
        <v>1</v>
      </c>
      <c r="C4">
        <v>1</v>
      </c>
      <c r="G4" s="73" t="s">
        <v>90</v>
      </c>
      <c r="H4" s="34"/>
      <c r="I4" s="34" t="s">
        <v>87</v>
      </c>
      <c r="J4" s="34"/>
      <c r="K4" s="34" t="s">
        <v>84</v>
      </c>
      <c r="L4" s="11"/>
      <c r="M4" s="72" t="s">
        <v>57</v>
      </c>
      <c r="P4" s="38"/>
      <c r="Q4" s="36"/>
      <c r="R4" s="36"/>
      <c r="S4" s="37"/>
      <c r="T4" s="36"/>
      <c r="U4" s="39"/>
    </row>
    <row r="5" spans="1:21" x14ac:dyDescent="0.4">
      <c r="A5" s="6" t="s">
        <v>120</v>
      </c>
      <c r="B5">
        <v>1</v>
      </c>
      <c r="C5">
        <v>1</v>
      </c>
      <c r="E5" s="6" t="s">
        <v>1</v>
      </c>
      <c r="H5" s="34"/>
      <c r="J5" s="34"/>
      <c r="L5" s="11"/>
      <c r="M5" s="72" t="s">
        <v>82</v>
      </c>
    </row>
    <row r="6" spans="1:21" x14ac:dyDescent="0.4">
      <c r="A6" s="6" t="s">
        <v>83</v>
      </c>
      <c r="B6">
        <v>1</v>
      </c>
      <c r="C6">
        <v>1</v>
      </c>
      <c r="G6" s="73" t="s">
        <v>101</v>
      </c>
      <c r="H6" s="34"/>
      <c r="I6" s="34" t="s">
        <v>88</v>
      </c>
      <c r="J6" s="34"/>
      <c r="K6" s="34" t="s">
        <v>85</v>
      </c>
      <c r="L6" s="11"/>
      <c r="M6" s="74"/>
    </row>
    <row r="7" spans="1:21" x14ac:dyDescent="0.4">
      <c r="A7" s="6" t="s">
        <v>121</v>
      </c>
      <c r="B7">
        <v>1</v>
      </c>
      <c r="C7">
        <v>1</v>
      </c>
      <c r="H7" s="34"/>
      <c r="J7" s="34"/>
      <c r="K7" s="34"/>
      <c r="L7" s="11"/>
      <c r="M7" s="72" t="s">
        <v>58</v>
      </c>
      <c r="P7" s="153"/>
      <c r="Q7" s="153"/>
    </row>
    <row r="8" spans="1:21" x14ac:dyDescent="0.4">
      <c r="A8" s="6" t="s">
        <v>122</v>
      </c>
      <c r="B8">
        <v>1</v>
      </c>
      <c r="C8">
        <v>1</v>
      </c>
      <c r="G8" s="73" t="s">
        <v>100</v>
      </c>
      <c r="H8" s="34"/>
      <c r="I8" s="34" t="s">
        <v>89</v>
      </c>
      <c r="J8" s="34"/>
      <c r="K8" s="34" t="s">
        <v>86</v>
      </c>
      <c r="L8" s="11"/>
      <c r="M8" s="72" t="s">
        <v>81</v>
      </c>
      <c r="P8" s="153"/>
      <c r="Q8" s="153"/>
    </row>
    <row r="9" spans="1:21" x14ac:dyDescent="0.4">
      <c r="A9" s="6" t="s">
        <v>123</v>
      </c>
      <c r="B9">
        <v>1</v>
      </c>
      <c r="C9">
        <v>1</v>
      </c>
      <c r="H9" s="34"/>
      <c r="I9" s="34"/>
      <c r="J9" s="34"/>
      <c r="K9" s="34"/>
      <c r="L9" s="11"/>
      <c r="M9" s="72" t="s">
        <v>46</v>
      </c>
    </row>
    <row r="10" spans="1:21" x14ac:dyDescent="0.4">
      <c r="A10" s="6" t="s">
        <v>124</v>
      </c>
      <c r="B10">
        <v>1</v>
      </c>
      <c r="C10">
        <v>1</v>
      </c>
      <c r="G10" s="73" t="s">
        <v>91</v>
      </c>
      <c r="M10" s="72" t="s">
        <v>59</v>
      </c>
    </row>
    <row r="11" spans="1:21" x14ac:dyDescent="0.4">
      <c r="A11" s="6" t="s">
        <v>125</v>
      </c>
      <c r="B11">
        <v>1</v>
      </c>
      <c r="C11">
        <v>1</v>
      </c>
      <c r="M11" s="72" t="s">
        <v>60</v>
      </c>
    </row>
    <row r="12" spans="1:21" x14ac:dyDescent="0.4">
      <c r="A12" s="6" t="s">
        <v>128</v>
      </c>
      <c r="B12">
        <v>1</v>
      </c>
      <c r="C12">
        <v>1</v>
      </c>
      <c r="G12" s="73" t="s">
        <v>92</v>
      </c>
      <c r="M12" s="72" t="s">
        <v>61</v>
      </c>
    </row>
    <row r="13" spans="1:21" x14ac:dyDescent="0.4">
      <c r="A13" s="6" t="s">
        <v>129</v>
      </c>
      <c r="B13">
        <v>1</v>
      </c>
      <c r="C13">
        <v>1</v>
      </c>
    </row>
    <row r="14" spans="1:21" x14ac:dyDescent="0.4">
      <c r="A14" s="6" t="s">
        <v>130</v>
      </c>
      <c r="B14">
        <v>1</v>
      </c>
      <c r="C14">
        <v>1</v>
      </c>
      <c r="G14" s="73" t="s">
        <v>93</v>
      </c>
      <c r="M14" s="72" t="s">
        <v>62</v>
      </c>
    </row>
    <row r="15" spans="1:21" x14ac:dyDescent="0.4">
      <c r="A15" s="6" t="s">
        <v>126</v>
      </c>
      <c r="B15">
        <v>1</v>
      </c>
      <c r="C15">
        <v>1</v>
      </c>
      <c r="M15" s="72" t="s">
        <v>63</v>
      </c>
    </row>
    <row r="16" spans="1:21" x14ac:dyDescent="0.4">
      <c r="A16" s="6" t="s">
        <v>127</v>
      </c>
      <c r="B16">
        <v>1</v>
      </c>
      <c r="C16">
        <v>1</v>
      </c>
      <c r="G16" s="73" t="s">
        <v>94</v>
      </c>
      <c r="M16" s="72" t="s">
        <v>64</v>
      </c>
    </row>
    <row r="17" spans="1:13" x14ac:dyDescent="0.4">
      <c r="A17" s="6" t="s">
        <v>131</v>
      </c>
      <c r="B17">
        <v>1</v>
      </c>
      <c r="C17">
        <v>1</v>
      </c>
    </row>
    <row r="18" spans="1:13" x14ac:dyDescent="0.4">
      <c r="A18" s="6" t="s">
        <v>132</v>
      </c>
      <c r="B18">
        <v>1</v>
      </c>
      <c r="C18">
        <v>1</v>
      </c>
      <c r="M18" s="72" t="s">
        <v>65</v>
      </c>
    </row>
    <row r="19" spans="1:13" x14ac:dyDescent="0.4">
      <c r="A19" s="6" t="s">
        <v>133</v>
      </c>
      <c r="B19">
        <v>1</v>
      </c>
      <c r="C19">
        <v>1</v>
      </c>
      <c r="M19" s="72" t="s">
        <v>66</v>
      </c>
    </row>
    <row r="20" spans="1:13" x14ac:dyDescent="0.4">
      <c r="M20" s="72" t="s">
        <v>97</v>
      </c>
    </row>
    <row r="21" spans="1:13" x14ac:dyDescent="0.4">
      <c r="A21" s="6" t="s">
        <v>25</v>
      </c>
      <c r="B21">
        <v>1</v>
      </c>
      <c r="C21">
        <v>1</v>
      </c>
    </row>
    <row r="22" spans="1:13" x14ac:dyDescent="0.4">
      <c r="A22" s="6" t="s">
        <v>134</v>
      </c>
      <c r="B22">
        <v>1</v>
      </c>
      <c r="C22">
        <v>1</v>
      </c>
      <c r="M22" s="72" t="s">
        <v>67</v>
      </c>
    </row>
    <row r="23" spans="1:13" x14ac:dyDescent="0.4">
      <c r="A23" s="6" t="s">
        <v>26</v>
      </c>
      <c r="B23">
        <v>1</v>
      </c>
      <c r="C23">
        <v>1</v>
      </c>
      <c r="M23" s="72" t="s">
        <v>98</v>
      </c>
    </row>
    <row r="24" spans="1:13" x14ac:dyDescent="0.4">
      <c r="A24" s="6" t="s">
        <v>27</v>
      </c>
      <c r="B24">
        <v>1</v>
      </c>
      <c r="C24">
        <v>1</v>
      </c>
    </row>
    <row r="26" spans="1:13" x14ac:dyDescent="0.4">
      <c r="A26" s="6" t="s">
        <v>28</v>
      </c>
      <c r="B26">
        <v>1</v>
      </c>
      <c r="C26">
        <v>1</v>
      </c>
    </row>
    <row r="27" spans="1:13" x14ac:dyDescent="0.4">
      <c r="A27" s="6" t="s">
        <v>29</v>
      </c>
      <c r="B27">
        <v>1</v>
      </c>
      <c r="C27">
        <v>1</v>
      </c>
    </row>
    <row r="28" spans="1:13" x14ac:dyDescent="0.4">
      <c r="A28" s="6" t="s">
        <v>30</v>
      </c>
      <c r="B28">
        <v>1</v>
      </c>
      <c r="C28">
        <v>1</v>
      </c>
    </row>
    <row r="29" spans="1:13" x14ac:dyDescent="0.4">
      <c r="A29" s="6" t="s">
        <v>31</v>
      </c>
      <c r="B29">
        <v>1</v>
      </c>
      <c r="C29">
        <v>1</v>
      </c>
    </row>
    <row r="30" spans="1:13" x14ac:dyDescent="0.4">
      <c r="A30" s="6" t="s">
        <v>32</v>
      </c>
      <c r="B30">
        <v>1</v>
      </c>
      <c r="C30">
        <v>1</v>
      </c>
    </row>
    <row r="31" spans="1:13" x14ac:dyDescent="0.4">
      <c r="A31" s="6" t="s">
        <v>33</v>
      </c>
      <c r="B31">
        <v>1</v>
      </c>
      <c r="C31">
        <v>1</v>
      </c>
    </row>
    <row r="33" spans="1:3" x14ac:dyDescent="0.4">
      <c r="A33" s="6" t="s">
        <v>42</v>
      </c>
      <c r="B33">
        <v>1</v>
      </c>
      <c r="C33">
        <v>1</v>
      </c>
    </row>
    <row r="34" spans="1:3" x14ac:dyDescent="0.4">
      <c r="A34" s="6" t="s">
        <v>38</v>
      </c>
      <c r="B34">
        <v>1</v>
      </c>
      <c r="C34">
        <v>1</v>
      </c>
    </row>
    <row r="35" spans="1:3" x14ac:dyDescent="0.4">
      <c r="A35" s="6" t="s">
        <v>41</v>
      </c>
      <c r="B35">
        <v>1</v>
      </c>
      <c r="C35">
        <v>1</v>
      </c>
    </row>
    <row r="37" spans="1:3" x14ac:dyDescent="0.4">
      <c r="A37" s="6" t="s">
        <v>35</v>
      </c>
      <c r="B37">
        <v>1</v>
      </c>
      <c r="C37">
        <v>1</v>
      </c>
    </row>
    <row r="38" spans="1:3" x14ac:dyDescent="0.4">
      <c r="A38" s="6" t="s">
        <v>37</v>
      </c>
      <c r="B38">
        <v>1</v>
      </c>
      <c r="C38">
        <v>1</v>
      </c>
    </row>
    <row r="39" spans="1:3" x14ac:dyDescent="0.4">
      <c r="A39" s="6" t="s">
        <v>39</v>
      </c>
      <c r="B39">
        <v>1</v>
      </c>
      <c r="C39">
        <v>1</v>
      </c>
    </row>
    <row r="40" spans="1:3" x14ac:dyDescent="0.4">
      <c r="A40" s="6" t="s">
        <v>43</v>
      </c>
      <c r="B40">
        <v>1</v>
      </c>
      <c r="C40">
        <v>1</v>
      </c>
    </row>
    <row r="41" spans="1:3" x14ac:dyDescent="0.4">
      <c r="A41" s="6" t="s">
        <v>34</v>
      </c>
      <c r="B41">
        <v>1</v>
      </c>
      <c r="C41">
        <v>1</v>
      </c>
    </row>
    <row r="42" spans="1:3" x14ac:dyDescent="0.4">
      <c r="A42" s="6" t="s">
        <v>36</v>
      </c>
      <c r="B42">
        <v>1</v>
      </c>
      <c r="C42">
        <v>1</v>
      </c>
    </row>
    <row r="43" spans="1:3" x14ac:dyDescent="0.4">
      <c r="A43" s="6" t="s">
        <v>40</v>
      </c>
      <c r="B43">
        <v>1</v>
      </c>
      <c r="C43">
        <v>1</v>
      </c>
    </row>
  </sheetData>
  <sheetProtection sheet="1" objects="1" scenarios="1"/>
  <mergeCells count="1">
    <mergeCell ref="P7:Q8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V92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D14" sqref="D14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22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22" ht="24" customHeight="1" x14ac:dyDescent="0.5">
      <c r="A2" s="77"/>
      <c r="B2" s="206" t="s">
        <v>55</v>
      </c>
      <c r="C2" s="207"/>
      <c r="D2" s="78" t="s">
        <v>144</v>
      </c>
      <c r="E2" s="206" t="s">
        <v>44</v>
      </c>
      <c r="F2" s="207"/>
      <c r="G2" s="208"/>
      <c r="H2" s="209"/>
      <c r="I2" s="210"/>
      <c r="J2" s="211"/>
      <c r="K2" s="79"/>
      <c r="L2" s="80"/>
      <c r="M2" s="81"/>
      <c r="N2" s="80"/>
      <c r="O2" s="82"/>
      <c r="P2" s="80"/>
      <c r="Q2" s="83"/>
    </row>
    <row r="3" spans="1:22" s="4" customFormat="1" ht="16.05" customHeight="1" x14ac:dyDescent="0.45">
      <c r="A3" s="77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52</v>
      </c>
      <c r="H3" s="217"/>
      <c r="I3" s="212" t="s">
        <v>56</v>
      </c>
      <c r="J3" s="218" t="s">
        <v>8</v>
      </c>
      <c r="K3" s="219"/>
      <c r="L3" s="189" t="s">
        <v>14</v>
      </c>
      <c r="M3" s="84"/>
      <c r="N3" s="195" t="s">
        <v>96</v>
      </c>
      <c r="O3" s="197" t="s">
        <v>56</v>
      </c>
      <c r="P3" s="198"/>
      <c r="Q3" s="201" t="s">
        <v>16</v>
      </c>
    </row>
    <row r="4" spans="1:22" s="10" customFormat="1" ht="16.05" customHeight="1" x14ac:dyDescent="0.45">
      <c r="A4" s="85"/>
      <c r="B4" s="213"/>
      <c r="C4" s="215"/>
      <c r="D4" s="213"/>
      <c r="E4" s="86" t="s">
        <v>53</v>
      </c>
      <c r="F4" s="86" t="s">
        <v>54</v>
      </c>
      <c r="G4" s="87" t="s">
        <v>12</v>
      </c>
      <c r="H4" s="88" t="s">
        <v>13</v>
      </c>
      <c r="I4" s="213"/>
      <c r="J4" s="92" t="s">
        <v>12</v>
      </c>
      <c r="K4" s="92" t="s">
        <v>13</v>
      </c>
      <c r="L4" s="190"/>
      <c r="M4" s="89" t="s">
        <v>15</v>
      </c>
      <c r="N4" s="196"/>
      <c r="O4" s="199"/>
      <c r="P4" s="200"/>
      <c r="Q4" s="202"/>
    </row>
    <row r="5" spans="1:22" s="10" customFormat="1" ht="20" customHeight="1" x14ac:dyDescent="0.5">
      <c r="A5" s="54"/>
      <c r="B5" s="191" t="s">
        <v>95</v>
      </c>
      <c r="C5" s="192"/>
      <c r="D5" s="193"/>
      <c r="E5" s="30">
        <v>0.49305555555555558</v>
      </c>
      <c r="F5" s="31">
        <v>0.54166666666666663</v>
      </c>
      <c r="G5" s="183" t="str">
        <f>IF(L5="","",IF(G5="",$G$2,G5))</f>
        <v/>
      </c>
      <c r="H5" s="184"/>
      <c r="I5" s="183" t="str">
        <f ca="1">IF(L5="","",IF(I5="",TEXT(NOW(),"yyyy-mm-dd h:mm:ss"),I5))</f>
        <v/>
      </c>
      <c r="J5" s="194"/>
      <c r="K5" s="184"/>
      <c r="L5" s="33"/>
      <c r="M5" s="45" t="str">
        <f t="shared" ref="M5:M17" ca="1" si="0">IF(M5=0,"",IF(L5&lt;&gt;M5,L5,M5))</f>
        <v/>
      </c>
      <c r="N5" s="47" t="str">
        <f>IF(L5="未完成","×",IF(L5="已完成","√",""))</f>
        <v/>
      </c>
      <c r="O5" s="187" t="str">
        <f>IF(L5="","",IF(AND(TEXT(I5,"yyyymmddhhmmss")&gt;TEXT(SheetName,"yyyymmdd")&amp;TEXT(E5,"hhmmss"),TEXT(I5,"yyyymmddhhmmss")&lt;TEXT(SheetName,"yyyymmdd")&amp;TEXT(F5,"hhmmss")),"","超  时"))</f>
        <v/>
      </c>
      <c r="P5" s="188"/>
      <c r="Q5" s="48"/>
    </row>
    <row r="6" spans="1:22" s="8" customFormat="1" ht="20" customHeight="1" x14ac:dyDescent="0.5">
      <c r="A6" s="55"/>
      <c r="B6" s="56">
        <v>1</v>
      </c>
      <c r="C6" s="23" t="s">
        <v>48</v>
      </c>
      <c r="D6" s="24" t="s">
        <v>18</v>
      </c>
      <c r="E6" s="30">
        <v>0.49305555555555558</v>
      </c>
      <c r="F6" s="31">
        <v>0.75</v>
      </c>
      <c r="G6" s="44" t="str">
        <f t="shared" ref="G6:G17" si="1">IF(L6="","",IF(G6="",$G$2,G6))</f>
        <v/>
      </c>
      <c r="H6" s="44" t="str">
        <f t="shared" ref="H6:H17" ca="1" si="2">IF(L6="","",IF(H6="",TEXT(NOW(),"yyyy-mm-dd h:mm:ss"),H6))</f>
        <v/>
      </c>
      <c r="I6" s="41" t="str">
        <f t="shared" ref="I6:I17" si="3">IF(L6="","",IF(AND(TEXT(H6,"yyyymmddhhmmss")&gt;TEXT(SheetName,"yyyymmdd")&amp;TEXT(E6,"hhmmss"),TEXT(H6,"yyyymmddhhmmss")&lt;TEXT(SheetName,"yyyymmdd")&amp;TEXT(F6,"hhmmss")),"","超  时"))</f>
        <v/>
      </c>
      <c r="J6" s="44" t="str">
        <f t="shared" ref="J6:J17" si="4">IF(L6 ="","",IF(L6&lt;&gt;M6,$G$2,J6))</f>
        <v/>
      </c>
      <c r="K6" s="44" t="str">
        <f t="shared" ref="K6:K17" ca="1" si="5">IF(L6 = "","",IF(L6&lt;&gt;M6,TEXT(NOW(),"yyyy-mm-dd h:mm:ss"),K6))</f>
        <v/>
      </c>
      <c r="L6" s="18"/>
      <c r="M6" s="5" t="str">
        <f t="shared" ca="1" si="0"/>
        <v/>
      </c>
      <c r="N6" s="42" t="str">
        <f t="shared" ref="N6:N17" si="6">IF(L6="未完成","×",IF(L6="已完成","√",""))</f>
        <v/>
      </c>
      <c r="O6" s="187" t="str">
        <f t="shared" ref="O6:O17" si="7">IF(L6="","",IF(AND(TEXT(K6,"yyyymmddhhmmss")&gt;TEXT(SheetName,"yyyymmdd")&amp;TEXT(E6,"hhmmss"),TEXT(K6,"yyyymmddhhmmss")&lt;TEXT(SheetName,"yyyymmdd")&amp;TEXT(F6,"hhmmss")),"","超  时"))</f>
        <v/>
      </c>
      <c r="P6" s="188"/>
      <c r="Q6" s="68"/>
    </row>
    <row r="7" spans="1:22" s="2" customFormat="1" ht="20" customHeight="1" x14ac:dyDescent="0.5">
      <c r="A7" s="55"/>
      <c r="B7" s="56">
        <v>2</v>
      </c>
      <c r="C7" s="23" t="s">
        <v>48</v>
      </c>
      <c r="D7" s="24" t="s">
        <v>102</v>
      </c>
      <c r="E7" s="30">
        <v>0.49305555555555558</v>
      </c>
      <c r="F7" s="31">
        <v>0.75</v>
      </c>
      <c r="G7" s="44" t="str">
        <f t="shared" si="1"/>
        <v/>
      </c>
      <c r="H7" s="44" t="str">
        <f t="shared" ca="1" si="2"/>
        <v/>
      </c>
      <c r="I7" s="41" t="str">
        <f t="shared" si="3"/>
        <v/>
      </c>
      <c r="J7" s="44" t="str">
        <f t="shared" si="4"/>
        <v/>
      </c>
      <c r="K7" s="44" t="str">
        <f t="shared" ca="1" si="5"/>
        <v/>
      </c>
      <c r="L7" s="18"/>
      <c r="M7" s="5" t="str">
        <f t="shared" ca="1" si="0"/>
        <v/>
      </c>
      <c r="N7" s="42" t="str">
        <f t="shared" si="6"/>
        <v/>
      </c>
      <c r="O7" s="187" t="str">
        <f t="shared" si="7"/>
        <v/>
      </c>
      <c r="P7" s="188"/>
      <c r="Q7" s="68"/>
      <c r="R7" s="8"/>
    </row>
    <row r="8" spans="1:22" s="2" customFormat="1" ht="20" customHeight="1" x14ac:dyDescent="0.5">
      <c r="A8" s="55"/>
      <c r="B8" s="56">
        <v>3</v>
      </c>
      <c r="C8" s="23" t="s">
        <v>48</v>
      </c>
      <c r="D8" s="24" t="s">
        <v>103</v>
      </c>
      <c r="E8" s="30">
        <v>0.49305555555555558</v>
      </c>
      <c r="F8" s="31">
        <v>0.75</v>
      </c>
      <c r="G8" s="44" t="str">
        <f t="shared" si="1"/>
        <v/>
      </c>
      <c r="H8" s="44" t="str">
        <f t="shared" ca="1" si="2"/>
        <v/>
      </c>
      <c r="I8" s="41" t="str">
        <f t="shared" si="3"/>
        <v/>
      </c>
      <c r="J8" s="44" t="str">
        <f t="shared" si="4"/>
        <v/>
      </c>
      <c r="K8" s="44" t="str">
        <f t="shared" ca="1" si="5"/>
        <v/>
      </c>
      <c r="L8" s="18"/>
      <c r="M8" s="5" t="str">
        <f t="shared" ca="1" si="0"/>
        <v/>
      </c>
      <c r="N8" s="42" t="str">
        <f t="shared" si="6"/>
        <v/>
      </c>
      <c r="O8" s="187" t="str">
        <f t="shared" si="7"/>
        <v/>
      </c>
      <c r="P8" s="188"/>
      <c r="Q8" s="69"/>
      <c r="R8" s="8"/>
    </row>
    <row r="9" spans="1:22" s="2" customFormat="1" ht="20" customHeight="1" x14ac:dyDescent="0.5">
      <c r="A9" s="55"/>
      <c r="B9" s="56">
        <v>4</v>
      </c>
      <c r="C9" s="23" t="s">
        <v>48</v>
      </c>
      <c r="D9" s="24" t="s">
        <v>19</v>
      </c>
      <c r="E9" s="30">
        <v>0.49305555555555558</v>
      </c>
      <c r="F9" s="31">
        <v>0.75</v>
      </c>
      <c r="G9" s="44" t="str">
        <f t="shared" si="1"/>
        <v/>
      </c>
      <c r="H9" s="44" t="str">
        <f t="shared" ca="1" si="2"/>
        <v/>
      </c>
      <c r="I9" s="41" t="str">
        <f t="shared" si="3"/>
        <v/>
      </c>
      <c r="J9" s="44" t="str">
        <f t="shared" si="4"/>
        <v/>
      </c>
      <c r="K9" s="44" t="str">
        <f t="shared" ca="1" si="5"/>
        <v/>
      </c>
      <c r="L9" s="18"/>
      <c r="M9" s="5" t="str">
        <f t="shared" ca="1" si="0"/>
        <v/>
      </c>
      <c r="N9" s="42" t="str">
        <f t="shared" si="6"/>
        <v/>
      </c>
      <c r="O9" s="187" t="str">
        <f t="shared" si="7"/>
        <v/>
      </c>
      <c r="P9" s="188"/>
      <c r="Q9" s="70"/>
      <c r="R9" s="8"/>
    </row>
    <row r="10" spans="1:22" s="2" customFormat="1" ht="20" customHeight="1" x14ac:dyDescent="0.5">
      <c r="A10" s="57" t="s">
        <v>50</v>
      </c>
      <c r="B10" s="56">
        <v>5</v>
      </c>
      <c r="C10" s="23" t="s">
        <v>48</v>
      </c>
      <c r="D10" s="24" t="s">
        <v>20</v>
      </c>
      <c r="E10" s="30">
        <v>0.49305555555555558</v>
      </c>
      <c r="F10" s="31">
        <v>0.75</v>
      </c>
      <c r="G10" s="44" t="str">
        <f t="shared" si="1"/>
        <v/>
      </c>
      <c r="H10" s="44" t="str">
        <f t="shared" ca="1" si="2"/>
        <v/>
      </c>
      <c r="I10" s="41" t="str">
        <f t="shared" si="3"/>
        <v/>
      </c>
      <c r="J10" s="44" t="str">
        <f t="shared" si="4"/>
        <v/>
      </c>
      <c r="K10" s="44" t="str">
        <f t="shared" ca="1" si="5"/>
        <v/>
      </c>
      <c r="L10" s="18"/>
      <c r="M10" s="5" t="str">
        <f t="shared" ca="1" si="0"/>
        <v/>
      </c>
      <c r="N10" s="42" t="str">
        <f t="shared" si="6"/>
        <v/>
      </c>
      <c r="O10" s="187" t="str">
        <f t="shared" si="7"/>
        <v/>
      </c>
      <c r="P10" s="188"/>
      <c r="Q10" s="48"/>
      <c r="R10" s="8"/>
    </row>
    <row r="11" spans="1:22" s="2" customFormat="1" ht="20" customHeight="1" x14ac:dyDescent="0.5">
      <c r="A11" s="57"/>
      <c r="B11" s="56">
        <v>6</v>
      </c>
      <c r="C11" s="23" t="s">
        <v>48</v>
      </c>
      <c r="D11" s="24" t="s">
        <v>21</v>
      </c>
      <c r="E11" s="30">
        <v>0.49305555555555558</v>
      </c>
      <c r="F11" s="31">
        <v>0.75</v>
      </c>
      <c r="G11" s="44" t="str">
        <f t="shared" si="1"/>
        <v/>
      </c>
      <c r="H11" s="44" t="str">
        <f t="shared" ca="1" si="2"/>
        <v/>
      </c>
      <c r="I11" s="41" t="str">
        <f t="shared" si="3"/>
        <v/>
      </c>
      <c r="J11" s="44" t="str">
        <f t="shared" si="4"/>
        <v/>
      </c>
      <c r="K11" s="44" t="str">
        <f t="shared" ca="1" si="5"/>
        <v/>
      </c>
      <c r="L11" s="18"/>
      <c r="M11" s="5" t="str">
        <f t="shared" ca="1" si="0"/>
        <v/>
      </c>
      <c r="N11" s="42" t="str">
        <f t="shared" si="6"/>
        <v/>
      </c>
      <c r="O11" s="187" t="str">
        <f t="shared" si="7"/>
        <v/>
      </c>
      <c r="P11" s="188"/>
      <c r="Q11" s="48"/>
      <c r="R11" s="8"/>
    </row>
    <row r="12" spans="1:22" s="2" customFormat="1" ht="20" customHeight="1" x14ac:dyDescent="0.5">
      <c r="A12" s="57"/>
      <c r="B12" s="56">
        <v>7</v>
      </c>
      <c r="C12" s="23" t="s">
        <v>48</v>
      </c>
      <c r="D12" s="24" t="s">
        <v>22</v>
      </c>
      <c r="E12" s="30">
        <v>0.49305555555555558</v>
      </c>
      <c r="F12" s="31">
        <v>0.75</v>
      </c>
      <c r="G12" s="44" t="str">
        <f t="shared" si="1"/>
        <v/>
      </c>
      <c r="H12" s="44" t="str">
        <f t="shared" ca="1" si="2"/>
        <v/>
      </c>
      <c r="I12" s="41" t="str">
        <f t="shared" si="3"/>
        <v/>
      </c>
      <c r="J12" s="44" t="str">
        <f t="shared" si="4"/>
        <v/>
      </c>
      <c r="K12" s="44" t="str">
        <f t="shared" ca="1" si="5"/>
        <v/>
      </c>
      <c r="L12" s="18"/>
      <c r="M12" s="5" t="str">
        <f t="shared" ca="1" si="0"/>
        <v/>
      </c>
      <c r="N12" s="42" t="str">
        <f t="shared" si="6"/>
        <v/>
      </c>
      <c r="O12" s="187" t="str">
        <f t="shared" si="7"/>
        <v/>
      </c>
      <c r="P12" s="188"/>
      <c r="Q12" s="48"/>
      <c r="R12" s="8"/>
    </row>
    <row r="13" spans="1:22" s="2" customFormat="1" ht="20" customHeight="1" x14ac:dyDescent="0.5">
      <c r="A13" s="55"/>
      <c r="B13" s="56">
        <v>8</v>
      </c>
      <c r="C13" s="23" t="s">
        <v>49</v>
      </c>
      <c r="D13" s="24" t="s">
        <v>24</v>
      </c>
      <c r="E13" s="30">
        <v>0.49305555555555558</v>
      </c>
      <c r="F13" s="31">
        <v>0.75</v>
      </c>
      <c r="G13" s="44" t="str">
        <f t="shared" si="1"/>
        <v/>
      </c>
      <c r="H13" s="44" t="str">
        <f t="shared" ca="1" si="2"/>
        <v/>
      </c>
      <c r="I13" s="41" t="str">
        <f t="shared" si="3"/>
        <v/>
      </c>
      <c r="J13" s="44" t="str">
        <f t="shared" si="4"/>
        <v/>
      </c>
      <c r="K13" s="44" t="str">
        <f t="shared" ca="1" si="5"/>
        <v/>
      </c>
      <c r="L13" s="18"/>
      <c r="M13" s="5" t="str">
        <f t="shared" ca="1" si="0"/>
        <v/>
      </c>
      <c r="N13" s="42" t="str">
        <f t="shared" si="6"/>
        <v/>
      </c>
      <c r="O13" s="187" t="str">
        <f t="shared" si="7"/>
        <v/>
      </c>
      <c r="P13" s="188"/>
      <c r="Q13" s="48"/>
      <c r="R13" s="8"/>
    </row>
    <row r="14" spans="1:22" s="2" customFormat="1" ht="20" customHeight="1" x14ac:dyDescent="0.5">
      <c r="A14" s="55"/>
      <c r="B14" s="56">
        <v>9</v>
      </c>
      <c r="C14" s="23" t="s">
        <v>49</v>
      </c>
      <c r="D14" s="24" t="s">
        <v>23</v>
      </c>
      <c r="E14" s="30">
        <v>0.49305555555555558</v>
      </c>
      <c r="F14" s="31">
        <v>0.75</v>
      </c>
      <c r="G14" s="44" t="str">
        <f t="shared" si="1"/>
        <v/>
      </c>
      <c r="H14" s="44" t="str">
        <f t="shared" ca="1" si="2"/>
        <v/>
      </c>
      <c r="I14" s="41" t="str">
        <f t="shared" si="3"/>
        <v/>
      </c>
      <c r="J14" s="44" t="str">
        <f t="shared" si="4"/>
        <v/>
      </c>
      <c r="K14" s="44" t="str">
        <f t="shared" ca="1" si="5"/>
        <v/>
      </c>
      <c r="L14" s="18"/>
      <c r="M14" s="5" t="str">
        <f t="shared" ca="1" si="0"/>
        <v/>
      </c>
      <c r="N14" s="42" t="str">
        <f t="shared" si="6"/>
        <v/>
      </c>
      <c r="O14" s="187" t="str">
        <f t="shared" si="7"/>
        <v/>
      </c>
      <c r="P14" s="188"/>
      <c r="Q14" s="48"/>
      <c r="R14" s="8"/>
    </row>
    <row r="15" spans="1:22" s="2" customFormat="1" ht="20" customHeight="1" x14ac:dyDescent="0.5">
      <c r="A15" s="55"/>
      <c r="B15" s="56">
        <v>10</v>
      </c>
      <c r="C15" s="23" t="s">
        <v>105</v>
      </c>
      <c r="D15" s="24" t="s">
        <v>145</v>
      </c>
      <c r="E15" s="31">
        <v>0.68055555555555547</v>
      </c>
      <c r="F15" s="31">
        <v>0.75</v>
      </c>
      <c r="G15" s="44" t="str">
        <f t="shared" ref="G15:G16" si="8">IF(L15="","",IF(G15="",$G$2,G15))</f>
        <v/>
      </c>
      <c r="H15" s="44" t="str">
        <f t="shared" ref="H15:H16" ca="1" si="9">IF(L15="","",IF(H15="",TEXT(NOW(),"yyyy-mm-dd h:mm:ss"),H15))</f>
        <v/>
      </c>
      <c r="I15" s="41" t="str">
        <f t="shared" ref="I15:I16" si="10">IF(L15="","",IF(AND(TEXT(H15,"yyyymmddhhmmss")&gt;TEXT(SheetName,"yyyymmdd")&amp;TEXT(E15,"hhmmss"),TEXT(H15,"yyyymmddhhmmss")&lt;TEXT(SheetName,"yyyymmdd")&amp;TEXT(F15,"hhmmss")),"","超  时"))</f>
        <v/>
      </c>
      <c r="J15" s="44" t="str">
        <f t="shared" ref="J15:J16" si="11">IF(L15 ="","",IF(L15&lt;&gt;M15,$G$2,J15))</f>
        <v/>
      </c>
      <c r="K15" s="44" t="str">
        <f t="shared" ref="K15:K16" ca="1" si="12">IF(L15 = "","",IF(L15&lt;&gt;M15,TEXT(NOW(),"yyyy-mm-dd h:mm:ss"),K15))</f>
        <v/>
      </c>
      <c r="L15" s="18"/>
      <c r="M15" s="5" t="str">
        <f t="shared" ref="M15:M16" ca="1" si="13">IF(M15=0,"",IF(L15&lt;&gt;M15,L15,M15))</f>
        <v/>
      </c>
      <c r="N15" s="42" t="str">
        <f t="shared" ref="N15:N16" si="14">IF(L15="未完成","×",IF(L15="已完成","√",""))</f>
        <v/>
      </c>
      <c r="O15" s="187" t="str">
        <f t="shared" ref="O15:O16" si="15">IF(L15="","",IF(AND(TEXT(K15,"yyyymmddhhmmss")&gt;TEXT(SheetName,"yyyymmdd")&amp;TEXT(E15,"hhmmss"),TEXT(K15,"yyyymmddhhmmss")&lt;TEXT(SheetName,"yyyymmdd")&amp;TEXT(F15,"hhmmss")),"","超  时"))</f>
        <v/>
      </c>
      <c r="P15" s="188"/>
      <c r="Q15" s="48"/>
      <c r="R15" s="8"/>
      <c r="V15" s="53"/>
    </row>
    <row r="16" spans="1:22" s="2" customFormat="1" ht="20" customHeight="1" x14ac:dyDescent="0.5">
      <c r="A16" s="55"/>
      <c r="B16" s="56">
        <v>11</v>
      </c>
      <c r="C16" s="23" t="s">
        <v>105</v>
      </c>
      <c r="D16" s="24" t="s">
        <v>150</v>
      </c>
      <c r="E16" s="31">
        <v>0.68055555555555547</v>
      </c>
      <c r="F16" s="31">
        <v>0.75</v>
      </c>
      <c r="G16" s="44" t="str">
        <f t="shared" si="8"/>
        <v/>
      </c>
      <c r="H16" s="44" t="str">
        <f t="shared" ca="1" si="9"/>
        <v/>
      </c>
      <c r="I16" s="41" t="str">
        <f t="shared" si="10"/>
        <v/>
      </c>
      <c r="J16" s="44" t="str">
        <f t="shared" si="11"/>
        <v/>
      </c>
      <c r="K16" s="44" t="str">
        <f t="shared" ca="1" si="12"/>
        <v/>
      </c>
      <c r="L16" s="18"/>
      <c r="M16" s="5" t="str">
        <f t="shared" ca="1" si="13"/>
        <v/>
      </c>
      <c r="N16" s="42" t="str">
        <f t="shared" si="14"/>
        <v/>
      </c>
      <c r="O16" s="187" t="str">
        <f t="shared" si="15"/>
        <v/>
      </c>
      <c r="P16" s="188"/>
      <c r="Q16" s="48"/>
      <c r="R16" s="8"/>
      <c r="V16" s="53"/>
    </row>
    <row r="17" spans="1:22" s="2" customFormat="1" ht="20" customHeight="1" x14ac:dyDescent="0.5">
      <c r="A17" s="55"/>
      <c r="B17" s="56">
        <v>12</v>
      </c>
      <c r="C17" s="23" t="s">
        <v>105</v>
      </c>
      <c r="D17" s="24" t="s">
        <v>149</v>
      </c>
      <c r="E17" s="31">
        <v>0.68055555555555547</v>
      </c>
      <c r="F17" s="31">
        <v>0.75</v>
      </c>
      <c r="G17" s="44" t="str">
        <f t="shared" si="1"/>
        <v/>
      </c>
      <c r="H17" s="44" t="str">
        <f t="shared" ca="1" si="2"/>
        <v/>
      </c>
      <c r="I17" s="41" t="str">
        <f t="shared" si="3"/>
        <v/>
      </c>
      <c r="J17" s="44" t="str">
        <f t="shared" si="4"/>
        <v/>
      </c>
      <c r="K17" s="44" t="str">
        <f t="shared" ca="1" si="5"/>
        <v/>
      </c>
      <c r="L17" s="18"/>
      <c r="M17" s="5" t="str">
        <f t="shared" ca="1" si="0"/>
        <v/>
      </c>
      <c r="N17" s="42" t="str">
        <f t="shared" si="6"/>
        <v/>
      </c>
      <c r="O17" s="187" t="str">
        <f t="shared" si="7"/>
        <v/>
      </c>
      <c r="P17" s="188"/>
      <c r="Q17" s="48"/>
      <c r="R17" s="8"/>
      <c r="V17" s="53"/>
    </row>
    <row r="18" spans="1:22" s="2" customFormat="1" ht="20" customHeight="1" x14ac:dyDescent="0.5">
      <c r="A18" s="55"/>
      <c r="B18" s="178" t="s">
        <v>79</v>
      </c>
      <c r="C18" s="179"/>
      <c r="D18" s="46" t="s">
        <v>119</v>
      </c>
      <c r="E18" s="180" t="s">
        <v>72</v>
      </c>
      <c r="F18" s="181"/>
      <c r="G18" s="90" t="s">
        <v>73</v>
      </c>
      <c r="H18" s="180" t="s">
        <v>77</v>
      </c>
      <c r="I18" s="181"/>
      <c r="J18" s="90" t="s">
        <v>78</v>
      </c>
      <c r="K18" s="93" t="s">
        <v>80</v>
      </c>
      <c r="L18" s="180" t="s">
        <v>70</v>
      </c>
      <c r="M18" s="182"/>
      <c r="N18" s="182"/>
      <c r="O18" s="182"/>
      <c r="P18" s="181"/>
      <c r="Q18" s="91" t="s">
        <v>71</v>
      </c>
      <c r="R18" s="8"/>
    </row>
    <row r="19" spans="1:22" s="2" customFormat="1" ht="30" customHeight="1" x14ac:dyDescent="0.5">
      <c r="A19" s="55"/>
      <c r="B19" s="183" t="s">
        <v>74</v>
      </c>
      <c r="C19" s="184"/>
      <c r="D19" s="51"/>
      <c r="E19" s="168"/>
      <c r="F19" s="169"/>
      <c r="G19" s="52"/>
      <c r="H19" s="185"/>
      <c r="I19" s="186"/>
      <c r="J19" s="44" t="str">
        <f>IF(L19 ="","",IF(L19&lt;&gt;M19,$G$2,J19))</f>
        <v/>
      </c>
      <c r="K19" s="75" t="str">
        <f ca="1">IF(L19 = "","",IF(L19&lt;&gt;M19,TEXT(NOW(),"yyyy-mm-dd h:mm:ss"),K19))</f>
        <v/>
      </c>
      <c r="L19" s="18"/>
      <c r="M19" s="71" t="str">
        <f t="shared" ref="M19:M20" ca="1" si="16">IF(M19=0,"",IF(L19&lt;&gt;M19,L19,M19))</f>
        <v/>
      </c>
      <c r="N19" s="172" t="str">
        <f>IF(L19="未完成","×",IF(L19="已完成","√",""))</f>
        <v/>
      </c>
      <c r="O19" s="173"/>
      <c r="P19" s="174"/>
      <c r="Q19" s="64"/>
      <c r="R19" s="8"/>
    </row>
    <row r="20" spans="1:22" s="2" customFormat="1" ht="30" customHeight="1" x14ac:dyDescent="0.5">
      <c r="A20" s="55"/>
      <c r="B20" s="183" t="s">
        <v>75</v>
      </c>
      <c r="C20" s="184"/>
      <c r="D20" s="51"/>
      <c r="E20" s="168"/>
      <c r="F20" s="169"/>
      <c r="G20" s="52"/>
      <c r="H20" s="185"/>
      <c r="I20" s="186"/>
      <c r="J20" s="44" t="str">
        <f t="shared" ref="J20" si="17">IF(L20 ="","",IF(L20&lt;&gt;M20,$G$2,J20))</f>
        <v/>
      </c>
      <c r="K20" s="75" t="str">
        <f ca="1">IF(L20 = "","",IF(L20&lt;&gt;M20,TEXT(NOW(),"yyyy-mm-dd h:mm:ss"),K20))</f>
        <v/>
      </c>
      <c r="L20" s="18"/>
      <c r="M20" s="45" t="str">
        <f t="shared" ca="1" si="16"/>
        <v/>
      </c>
      <c r="N20" s="170" t="str">
        <f>IF(L20="未完成","×",IF(L20="已完成","√",""))</f>
        <v/>
      </c>
      <c r="O20" s="170"/>
      <c r="P20" s="171"/>
      <c r="Q20" s="65"/>
      <c r="R20" s="8"/>
    </row>
    <row r="21" spans="1:22" s="2" customFormat="1" ht="20" customHeight="1" x14ac:dyDescent="0.5">
      <c r="A21" s="55"/>
      <c r="B21" s="178" t="s">
        <v>110</v>
      </c>
      <c r="C21" s="179"/>
      <c r="D21" s="46" t="s">
        <v>76</v>
      </c>
      <c r="E21" s="180" t="s">
        <v>107</v>
      </c>
      <c r="F21" s="181"/>
      <c r="G21" s="90" t="s">
        <v>73</v>
      </c>
      <c r="H21" s="90" t="s">
        <v>109</v>
      </c>
      <c r="I21" s="90" t="s">
        <v>108</v>
      </c>
      <c r="J21" s="90" t="s">
        <v>78</v>
      </c>
      <c r="K21" s="93" t="s">
        <v>80</v>
      </c>
      <c r="L21" s="180" t="s">
        <v>70</v>
      </c>
      <c r="M21" s="182"/>
      <c r="N21" s="182"/>
      <c r="O21" s="182"/>
      <c r="P21" s="181"/>
      <c r="Q21" s="91" t="s">
        <v>71</v>
      </c>
      <c r="R21" s="8"/>
    </row>
    <row r="22" spans="1:22" s="2" customFormat="1" ht="20" customHeight="1" x14ac:dyDescent="0.5">
      <c r="A22" s="55"/>
      <c r="B22" s="175" t="s">
        <v>111</v>
      </c>
      <c r="C22" s="95"/>
      <c r="D22" s="51"/>
      <c r="E22" s="168"/>
      <c r="F22" s="169"/>
      <c r="G22" s="52"/>
      <c r="H22" s="105" t="str">
        <f ca="1">IF(I22 = "", "", TEXT(NOW(),"yy-mm-dd hh:mm:ss"))</f>
        <v/>
      </c>
      <c r="I22" s="94"/>
      <c r="J22" s="44" t="s">
        <v>106</v>
      </c>
      <c r="K22" s="75" t="str">
        <f ca="1">IF(L22 = "","",IF(L22&lt;&gt;M22,TEXT(NOW(),"yyyy-mm-dd h:mm:ss"),K22))</f>
        <v/>
      </c>
      <c r="L22" s="18"/>
      <c r="M22" s="71" t="s">
        <v>106</v>
      </c>
      <c r="N22" s="172" t="s">
        <v>106</v>
      </c>
      <c r="O22" s="173"/>
      <c r="P22" s="174"/>
      <c r="Q22" s="64"/>
      <c r="R22" s="8"/>
    </row>
    <row r="23" spans="1:22" s="2" customFormat="1" ht="20" customHeight="1" x14ac:dyDescent="0.5">
      <c r="A23" s="55"/>
      <c r="B23" s="176"/>
      <c r="C23" s="95"/>
      <c r="D23" s="51"/>
      <c r="E23" s="168"/>
      <c r="F23" s="169"/>
      <c r="G23" s="52"/>
      <c r="H23" s="105" t="str">
        <f t="shared" ref="H23:H24" ca="1" si="18">IF(I23 = "", "", TEXT(NOW(),"yy-mm-dd hh:mm:ss"))</f>
        <v/>
      </c>
      <c r="I23" s="94"/>
      <c r="J23" s="44" t="s">
        <v>106</v>
      </c>
      <c r="K23" s="75" t="str">
        <f t="shared" ref="K23:K24" ca="1" si="19">IF(L23 = "","",IF(L23&lt;&gt;M23,TEXT(NOW(),"yyyy-mm-dd h:mm:ss"),K23))</f>
        <v/>
      </c>
      <c r="L23" s="18"/>
      <c r="M23" s="45" t="s">
        <v>106</v>
      </c>
      <c r="N23" s="170" t="s">
        <v>106</v>
      </c>
      <c r="O23" s="170"/>
      <c r="P23" s="171"/>
      <c r="Q23" s="65"/>
      <c r="R23" s="8"/>
    </row>
    <row r="24" spans="1:22" s="2" customFormat="1" ht="20" customHeight="1" x14ac:dyDescent="0.5">
      <c r="A24" s="55"/>
      <c r="B24" s="177"/>
      <c r="C24" s="95"/>
      <c r="D24" s="51"/>
      <c r="E24" s="168"/>
      <c r="F24" s="169"/>
      <c r="G24" s="52"/>
      <c r="H24" s="105" t="str">
        <f t="shared" ca="1" si="18"/>
        <v/>
      </c>
      <c r="I24" s="94"/>
      <c r="J24" s="44" t="s">
        <v>106</v>
      </c>
      <c r="K24" s="75" t="str">
        <f t="shared" ca="1" si="19"/>
        <v/>
      </c>
      <c r="L24" s="18"/>
      <c r="M24" s="71" t="s">
        <v>106</v>
      </c>
      <c r="N24" s="172" t="s">
        <v>106</v>
      </c>
      <c r="O24" s="173"/>
      <c r="P24" s="174"/>
      <c r="Q24" s="64"/>
      <c r="R24" s="8"/>
    </row>
    <row r="25" spans="1:22" s="2" customFormat="1" ht="40.049999999999997" customHeight="1" x14ac:dyDescent="0.5">
      <c r="A25" s="55"/>
      <c r="B25" s="154" t="s">
        <v>112</v>
      </c>
      <c r="C25" s="156"/>
      <c r="D25" s="157"/>
      <c r="E25" s="157"/>
      <c r="F25" s="157"/>
      <c r="G25" s="157"/>
      <c r="H25" s="158"/>
      <c r="I25" s="96" t="s">
        <v>114</v>
      </c>
      <c r="J25" s="162"/>
      <c r="K25" s="163"/>
      <c r="L25" s="163"/>
      <c r="M25" s="163"/>
      <c r="N25" s="163"/>
      <c r="O25" s="163"/>
      <c r="P25" s="163"/>
      <c r="Q25" s="164"/>
    </row>
    <row r="26" spans="1:22" s="2" customFormat="1" ht="40.15" customHeight="1" x14ac:dyDescent="0.5">
      <c r="A26" s="58"/>
      <c r="B26" s="155"/>
      <c r="C26" s="159"/>
      <c r="D26" s="160"/>
      <c r="E26" s="160"/>
      <c r="F26" s="160"/>
      <c r="G26" s="160"/>
      <c r="H26" s="161"/>
      <c r="I26" s="97" t="s">
        <v>113</v>
      </c>
      <c r="J26" s="165"/>
      <c r="K26" s="166"/>
      <c r="L26" s="166"/>
      <c r="M26" s="166"/>
      <c r="N26" s="166"/>
      <c r="O26" s="166"/>
      <c r="P26" s="166"/>
      <c r="Q26" s="167"/>
    </row>
    <row r="27" spans="1:22" s="8" customFormat="1" ht="20" hidden="1" customHeight="1" x14ac:dyDescent="0.5">
      <c r="A27" s="20"/>
      <c r="B27" s="28"/>
      <c r="C27" s="22"/>
      <c r="D27" s="16"/>
      <c r="E27" s="22"/>
      <c r="F27" s="22"/>
      <c r="G27" s="22"/>
      <c r="H27" s="22"/>
      <c r="I27" s="22"/>
      <c r="J27" s="22"/>
      <c r="K27" s="22"/>
      <c r="L27" s="29"/>
      <c r="M27" s="7"/>
      <c r="N27" s="14"/>
      <c r="O27" s="40"/>
      <c r="P27" s="9"/>
      <c r="Q27" s="7"/>
    </row>
    <row r="28" spans="1:22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22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ht="22.9" hidden="1" customHeight="1" x14ac:dyDescent="0.5"/>
    <row r="92" spans="1:17" ht="22.9" hidden="1" customHeight="1" x14ac:dyDescent="0.5"/>
  </sheetData>
  <dataConsolidate/>
  <mergeCells count="58">
    <mergeCell ref="O12:P12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O11:P11"/>
    <mergeCell ref="B5:D5"/>
    <mergeCell ref="G5:H5"/>
    <mergeCell ref="I5:K5"/>
    <mergeCell ref="O5:P5"/>
    <mergeCell ref="O6:P6"/>
    <mergeCell ref="O7:P7"/>
    <mergeCell ref="O8:P8"/>
    <mergeCell ref="O9:P9"/>
    <mergeCell ref="O10:P10"/>
    <mergeCell ref="N3:N4"/>
    <mergeCell ref="O3:P4"/>
    <mergeCell ref="O13:P13"/>
    <mergeCell ref="O14:P14"/>
    <mergeCell ref="O17:P17"/>
    <mergeCell ref="B18:C18"/>
    <mergeCell ref="E18:F18"/>
    <mergeCell ref="H18:I18"/>
    <mergeCell ref="L18:P18"/>
    <mergeCell ref="O15:P15"/>
    <mergeCell ref="O16:P16"/>
    <mergeCell ref="B19:C19"/>
    <mergeCell ref="E19:F19"/>
    <mergeCell ref="H19:I19"/>
    <mergeCell ref="N19:P19"/>
    <mergeCell ref="B20:C20"/>
    <mergeCell ref="E20:F20"/>
    <mergeCell ref="H20:I20"/>
    <mergeCell ref="N20:P20"/>
    <mergeCell ref="B21:C21"/>
    <mergeCell ref="E21:F21"/>
    <mergeCell ref="L21:P21"/>
    <mergeCell ref="E22:F22"/>
    <mergeCell ref="N22:P22"/>
    <mergeCell ref="B25:B26"/>
    <mergeCell ref="C25:H26"/>
    <mergeCell ref="J25:Q25"/>
    <mergeCell ref="J26:Q26"/>
    <mergeCell ref="E23:F23"/>
    <mergeCell ref="N23:P23"/>
    <mergeCell ref="E24:F24"/>
    <mergeCell ref="N24:P24"/>
    <mergeCell ref="B22:B24"/>
  </mergeCells>
  <phoneticPr fontId="1" type="noConversion"/>
  <conditionalFormatting sqref="N28:O28 N7:O14 I7:I14">
    <cfRule type="cellIs" dxfId="1173" priority="303" operator="equal">
      <formula>"×"</formula>
    </cfRule>
    <cfRule type="cellIs" dxfId="1172" priority="304" operator="equal">
      <formula>"√"</formula>
    </cfRule>
  </conditionalFormatting>
  <conditionalFormatting sqref="L28 L7:L14">
    <cfRule type="cellIs" dxfId="1171" priority="301" operator="equal">
      <formula>"未完成"</formula>
    </cfRule>
    <cfRule type="cellIs" dxfId="1170" priority="302" operator="equal">
      <formula>"已完成"</formula>
    </cfRule>
  </conditionalFormatting>
  <conditionalFormatting sqref="D19:D20 N19:N20">
    <cfRule type="cellIs" dxfId="1169" priority="295" operator="equal">
      <formula>"×"</formula>
    </cfRule>
    <cfRule type="cellIs" dxfId="1168" priority="296" operator="equal">
      <formula>"√"</formula>
    </cfRule>
  </conditionalFormatting>
  <conditionalFormatting sqref="L19:L20">
    <cfRule type="cellIs" dxfId="1167" priority="293" operator="equal">
      <formula>"未完成"</formula>
    </cfRule>
    <cfRule type="cellIs" dxfId="1166" priority="294" operator="equal">
      <formula>"已完成"</formula>
    </cfRule>
  </conditionalFormatting>
  <conditionalFormatting sqref="L18">
    <cfRule type="cellIs" dxfId="1165" priority="289" operator="equal">
      <formula>"未完成"</formula>
    </cfRule>
    <cfRule type="cellIs" dxfId="1164" priority="290" operator="equal">
      <formula>"已完成"</formula>
    </cfRule>
  </conditionalFormatting>
  <conditionalFormatting sqref="D18">
    <cfRule type="cellIs" dxfId="1163" priority="291" operator="equal">
      <formula>"×"</formula>
    </cfRule>
    <cfRule type="cellIs" dxfId="1162" priority="292" operator="equal">
      <formula>"√"</formula>
    </cfRule>
  </conditionalFormatting>
  <conditionalFormatting sqref="N5:O5">
    <cfRule type="cellIs" dxfId="1161" priority="283" operator="equal">
      <formula>"×"</formula>
    </cfRule>
    <cfRule type="cellIs" dxfId="1160" priority="284" operator="equal">
      <formula>"√"</formula>
    </cfRule>
  </conditionalFormatting>
  <conditionalFormatting sqref="L5">
    <cfRule type="cellIs" dxfId="1159" priority="281" operator="equal">
      <formula>"未完成"</formula>
    </cfRule>
    <cfRule type="cellIs" dxfId="1158" priority="282" operator="equal">
      <formula>"已完成"</formula>
    </cfRule>
  </conditionalFormatting>
  <conditionalFormatting sqref="N6">
    <cfRule type="cellIs" dxfId="1157" priority="279" operator="equal">
      <formula>"×"</formula>
    </cfRule>
    <cfRule type="cellIs" dxfId="1156" priority="280" operator="equal">
      <formula>"√"</formula>
    </cfRule>
  </conditionalFormatting>
  <conditionalFormatting sqref="L6">
    <cfRule type="cellIs" dxfId="1155" priority="277" operator="equal">
      <formula>"未完成"</formula>
    </cfRule>
    <cfRule type="cellIs" dxfId="1154" priority="278" operator="equal">
      <formula>"已完成"</formula>
    </cfRule>
  </conditionalFormatting>
  <conditionalFormatting sqref="I6">
    <cfRule type="cellIs" dxfId="1153" priority="275" operator="equal">
      <formula>"×"</formula>
    </cfRule>
    <cfRule type="cellIs" dxfId="1152" priority="276" operator="equal">
      <formula>"√"</formula>
    </cfRule>
  </conditionalFormatting>
  <conditionalFormatting sqref="O6">
    <cfRule type="cellIs" dxfId="1151" priority="273" operator="equal">
      <formula>"×"</formula>
    </cfRule>
    <cfRule type="cellIs" dxfId="1150" priority="274" operator="equal">
      <formula>"√"</formula>
    </cfRule>
  </conditionalFormatting>
  <conditionalFormatting sqref="N15:N17">
    <cfRule type="cellIs" dxfId="1149" priority="271" operator="equal">
      <formula>"×"</formula>
    </cfRule>
    <cfRule type="cellIs" dxfId="1148" priority="272" operator="equal">
      <formula>"√"</formula>
    </cfRule>
  </conditionalFormatting>
  <conditionalFormatting sqref="L15:L17">
    <cfRule type="cellIs" dxfId="1147" priority="269" operator="equal">
      <formula>"未完成"</formula>
    </cfRule>
    <cfRule type="cellIs" dxfId="1146" priority="270" operator="equal">
      <formula>"已完成"</formula>
    </cfRule>
  </conditionalFormatting>
  <conditionalFormatting sqref="I15:I17">
    <cfRule type="cellIs" dxfId="1145" priority="267" operator="equal">
      <formula>"×"</formula>
    </cfRule>
    <cfRule type="cellIs" dxfId="1144" priority="268" operator="equal">
      <formula>"√"</formula>
    </cfRule>
  </conditionalFormatting>
  <conditionalFormatting sqref="O15:O17">
    <cfRule type="cellIs" dxfId="1143" priority="265" operator="equal">
      <formula>"×"</formula>
    </cfRule>
    <cfRule type="cellIs" dxfId="1142" priority="266" operator="equal">
      <formula>"√"</formula>
    </cfRule>
  </conditionalFormatting>
  <conditionalFormatting sqref="N29:O29">
    <cfRule type="cellIs" dxfId="1141" priority="263" operator="equal">
      <formula>"×"</formula>
    </cfRule>
    <cfRule type="cellIs" dxfId="1140" priority="264" operator="equal">
      <formula>"√"</formula>
    </cfRule>
  </conditionalFormatting>
  <conditionalFormatting sqref="L29">
    <cfRule type="cellIs" dxfId="1139" priority="261" operator="equal">
      <formula>"未完成"</formula>
    </cfRule>
    <cfRule type="cellIs" dxfId="1138" priority="262" operator="equal">
      <formula>"已完成"</formula>
    </cfRule>
  </conditionalFormatting>
  <conditionalFormatting sqref="N30:O30">
    <cfRule type="cellIs" dxfId="1137" priority="259" operator="equal">
      <formula>"×"</formula>
    </cfRule>
    <cfRule type="cellIs" dxfId="1136" priority="260" operator="equal">
      <formula>"√"</formula>
    </cfRule>
  </conditionalFormatting>
  <conditionalFormatting sqref="L30">
    <cfRule type="cellIs" dxfId="1135" priority="257" operator="equal">
      <formula>"未完成"</formula>
    </cfRule>
    <cfRule type="cellIs" dxfId="1134" priority="258" operator="equal">
      <formula>"已完成"</formula>
    </cfRule>
  </conditionalFormatting>
  <conditionalFormatting sqref="N31:O31">
    <cfRule type="cellIs" dxfId="1133" priority="255" operator="equal">
      <formula>"×"</formula>
    </cfRule>
    <cfRule type="cellIs" dxfId="1132" priority="256" operator="equal">
      <formula>"√"</formula>
    </cfRule>
  </conditionalFormatting>
  <conditionalFormatting sqref="L31">
    <cfRule type="cellIs" dxfId="1131" priority="253" operator="equal">
      <formula>"未完成"</formula>
    </cfRule>
    <cfRule type="cellIs" dxfId="1130" priority="254" operator="equal">
      <formula>"已完成"</formula>
    </cfRule>
  </conditionalFormatting>
  <conditionalFormatting sqref="N32:O32">
    <cfRule type="cellIs" dxfId="1129" priority="251" operator="equal">
      <formula>"×"</formula>
    </cfRule>
    <cfRule type="cellIs" dxfId="1128" priority="252" operator="equal">
      <formula>"√"</formula>
    </cfRule>
  </conditionalFormatting>
  <conditionalFormatting sqref="L32">
    <cfRule type="cellIs" dxfId="1127" priority="249" operator="equal">
      <formula>"未完成"</formula>
    </cfRule>
    <cfRule type="cellIs" dxfId="1126" priority="250" operator="equal">
      <formula>"已完成"</formula>
    </cfRule>
  </conditionalFormatting>
  <conditionalFormatting sqref="N33:O33">
    <cfRule type="cellIs" dxfId="1125" priority="247" operator="equal">
      <formula>"×"</formula>
    </cfRule>
    <cfRule type="cellIs" dxfId="1124" priority="248" operator="equal">
      <formula>"√"</formula>
    </cfRule>
  </conditionalFormatting>
  <conditionalFormatting sqref="L33">
    <cfRule type="cellIs" dxfId="1123" priority="245" operator="equal">
      <formula>"未完成"</formula>
    </cfRule>
    <cfRule type="cellIs" dxfId="1122" priority="246" operator="equal">
      <formula>"已完成"</formula>
    </cfRule>
  </conditionalFormatting>
  <conditionalFormatting sqref="N34:O34">
    <cfRule type="cellIs" dxfId="1121" priority="243" operator="equal">
      <formula>"×"</formula>
    </cfRule>
    <cfRule type="cellIs" dxfId="1120" priority="244" operator="equal">
      <formula>"√"</formula>
    </cfRule>
  </conditionalFormatting>
  <conditionalFormatting sqref="L34">
    <cfRule type="cellIs" dxfId="1119" priority="241" operator="equal">
      <formula>"未完成"</formula>
    </cfRule>
    <cfRule type="cellIs" dxfId="1118" priority="242" operator="equal">
      <formula>"已完成"</formula>
    </cfRule>
  </conditionalFormatting>
  <conditionalFormatting sqref="N35:O35">
    <cfRule type="cellIs" dxfId="1117" priority="239" operator="equal">
      <formula>"×"</formula>
    </cfRule>
    <cfRule type="cellIs" dxfId="1116" priority="240" operator="equal">
      <formula>"√"</formula>
    </cfRule>
  </conditionalFormatting>
  <conditionalFormatting sqref="L35">
    <cfRule type="cellIs" dxfId="1115" priority="237" operator="equal">
      <formula>"未完成"</formula>
    </cfRule>
    <cfRule type="cellIs" dxfId="1114" priority="238" operator="equal">
      <formula>"已完成"</formula>
    </cfRule>
  </conditionalFormatting>
  <conditionalFormatting sqref="N36:O36">
    <cfRule type="cellIs" dxfId="1113" priority="235" operator="equal">
      <formula>"×"</formula>
    </cfRule>
    <cfRule type="cellIs" dxfId="1112" priority="236" operator="equal">
      <formula>"√"</formula>
    </cfRule>
  </conditionalFormatting>
  <conditionalFormatting sqref="L36">
    <cfRule type="cellIs" dxfId="1111" priority="233" operator="equal">
      <formula>"未完成"</formula>
    </cfRule>
    <cfRule type="cellIs" dxfId="1110" priority="234" operator="equal">
      <formula>"已完成"</formula>
    </cfRule>
  </conditionalFormatting>
  <conditionalFormatting sqref="N37:O37">
    <cfRule type="cellIs" dxfId="1109" priority="231" operator="equal">
      <formula>"×"</formula>
    </cfRule>
    <cfRule type="cellIs" dxfId="1108" priority="232" operator="equal">
      <formula>"√"</formula>
    </cfRule>
  </conditionalFormatting>
  <conditionalFormatting sqref="L37">
    <cfRule type="cellIs" dxfId="1107" priority="229" operator="equal">
      <formula>"未完成"</formula>
    </cfRule>
    <cfRule type="cellIs" dxfId="1106" priority="230" operator="equal">
      <formula>"已完成"</formula>
    </cfRule>
  </conditionalFormatting>
  <conditionalFormatting sqref="N38:O38">
    <cfRule type="cellIs" dxfId="1105" priority="227" operator="equal">
      <formula>"×"</formula>
    </cfRule>
    <cfRule type="cellIs" dxfId="1104" priority="228" operator="equal">
      <formula>"√"</formula>
    </cfRule>
  </conditionalFormatting>
  <conditionalFormatting sqref="L38">
    <cfRule type="cellIs" dxfId="1103" priority="225" operator="equal">
      <formula>"未完成"</formula>
    </cfRule>
    <cfRule type="cellIs" dxfId="1102" priority="226" operator="equal">
      <formula>"已完成"</formula>
    </cfRule>
  </conditionalFormatting>
  <conditionalFormatting sqref="N39:O39">
    <cfRule type="cellIs" dxfId="1101" priority="223" operator="equal">
      <formula>"×"</formula>
    </cfRule>
    <cfRule type="cellIs" dxfId="1100" priority="224" operator="equal">
      <formula>"√"</formula>
    </cfRule>
  </conditionalFormatting>
  <conditionalFormatting sqref="L39">
    <cfRule type="cellIs" dxfId="1099" priority="221" operator="equal">
      <formula>"未完成"</formula>
    </cfRule>
    <cfRule type="cellIs" dxfId="1098" priority="222" operator="equal">
      <formula>"已完成"</formula>
    </cfRule>
  </conditionalFormatting>
  <conditionalFormatting sqref="N40:O40">
    <cfRule type="cellIs" dxfId="1097" priority="219" operator="equal">
      <formula>"×"</formula>
    </cfRule>
    <cfRule type="cellIs" dxfId="1096" priority="220" operator="equal">
      <formula>"√"</formula>
    </cfRule>
  </conditionalFormatting>
  <conditionalFormatting sqref="L40">
    <cfRule type="cellIs" dxfId="1095" priority="217" operator="equal">
      <formula>"未完成"</formula>
    </cfRule>
    <cfRule type="cellIs" dxfId="1094" priority="218" operator="equal">
      <formula>"已完成"</formula>
    </cfRule>
  </conditionalFormatting>
  <conditionalFormatting sqref="N41:O41">
    <cfRule type="cellIs" dxfId="1093" priority="215" operator="equal">
      <formula>"×"</formula>
    </cfRule>
    <cfRule type="cellIs" dxfId="1092" priority="216" operator="equal">
      <formula>"√"</formula>
    </cfRule>
  </conditionalFormatting>
  <conditionalFormatting sqref="L41">
    <cfRule type="cellIs" dxfId="1091" priority="213" operator="equal">
      <formula>"未完成"</formula>
    </cfRule>
    <cfRule type="cellIs" dxfId="1090" priority="214" operator="equal">
      <formula>"已完成"</formula>
    </cfRule>
  </conditionalFormatting>
  <conditionalFormatting sqref="N42:O42">
    <cfRule type="cellIs" dxfId="1089" priority="211" operator="equal">
      <formula>"×"</formula>
    </cfRule>
    <cfRule type="cellIs" dxfId="1088" priority="212" operator="equal">
      <formula>"√"</formula>
    </cfRule>
  </conditionalFormatting>
  <conditionalFormatting sqref="L42">
    <cfRule type="cellIs" dxfId="1087" priority="209" operator="equal">
      <formula>"未完成"</formula>
    </cfRule>
    <cfRule type="cellIs" dxfId="1086" priority="210" operator="equal">
      <formula>"已完成"</formula>
    </cfRule>
  </conditionalFormatting>
  <conditionalFormatting sqref="N43:O43">
    <cfRule type="cellIs" dxfId="1085" priority="207" operator="equal">
      <formula>"×"</formula>
    </cfRule>
    <cfRule type="cellIs" dxfId="1084" priority="208" operator="equal">
      <formula>"√"</formula>
    </cfRule>
  </conditionalFormatting>
  <conditionalFormatting sqref="L43">
    <cfRule type="cellIs" dxfId="1083" priority="205" operator="equal">
      <formula>"未完成"</formula>
    </cfRule>
    <cfRule type="cellIs" dxfId="1082" priority="206" operator="equal">
      <formula>"已完成"</formula>
    </cfRule>
  </conditionalFormatting>
  <conditionalFormatting sqref="N44:O44">
    <cfRule type="cellIs" dxfId="1081" priority="203" operator="equal">
      <formula>"×"</formula>
    </cfRule>
    <cfRule type="cellIs" dxfId="1080" priority="204" operator="equal">
      <formula>"√"</formula>
    </cfRule>
  </conditionalFormatting>
  <conditionalFormatting sqref="L44">
    <cfRule type="cellIs" dxfId="1079" priority="201" operator="equal">
      <formula>"未完成"</formula>
    </cfRule>
    <cfRule type="cellIs" dxfId="1078" priority="202" operator="equal">
      <formula>"已完成"</formula>
    </cfRule>
  </conditionalFormatting>
  <conditionalFormatting sqref="N45:O45">
    <cfRule type="cellIs" dxfId="1077" priority="199" operator="equal">
      <formula>"×"</formula>
    </cfRule>
    <cfRule type="cellIs" dxfId="1076" priority="200" operator="equal">
      <formula>"√"</formula>
    </cfRule>
  </conditionalFormatting>
  <conditionalFormatting sqref="L45">
    <cfRule type="cellIs" dxfId="1075" priority="197" operator="equal">
      <formula>"未完成"</formula>
    </cfRule>
    <cfRule type="cellIs" dxfId="1074" priority="198" operator="equal">
      <formula>"已完成"</formula>
    </cfRule>
  </conditionalFormatting>
  <conditionalFormatting sqref="N46:O46">
    <cfRule type="cellIs" dxfId="1073" priority="195" operator="equal">
      <formula>"×"</formula>
    </cfRule>
    <cfRule type="cellIs" dxfId="1072" priority="196" operator="equal">
      <formula>"√"</formula>
    </cfRule>
  </conditionalFormatting>
  <conditionalFormatting sqref="L46">
    <cfRule type="cellIs" dxfId="1071" priority="193" operator="equal">
      <formula>"未完成"</formula>
    </cfRule>
    <cfRule type="cellIs" dxfId="1070" priority="194" operator="equal">
      <formula>"已完成"</formula>
    </cfRule>
  </conditionalFormatting>
  <conditionalFormatting sqref="N47:O47">
    <cfRule type="cellIs" dxfId="1069" priority="191" operator="equal">
      <formula>"×"</formula>
    </cfRule>
    <cfRule type="cellIs" dxfId="1068" priority="192" operator="equal">
      <formula>"√"</formula>
    </cfRule>
  </conditionalFormatting>
  <conditionalFormatting sqref="L47">
    <cfRule type="cellIs" dxfId="1067" priority="189" operator="equal">
      <formula>"未完成"</formula>
    </cfRule>
    <cfRule type="cellIs" dxfId="1066" priority="190" operator="equal">
      <formula>"已完成"</formula>
    </cfRule>
  </conditionalFormatting>
  <conditionalFormatting sqref="N48:O48">
    <cfRule type="cellIs" dxfId="1065" priority="187" operator="equal">
      <formula>"×"</formula>
    </cfRule>
    <cfRule type="cellIs" dxfId="1064" priority="188" operator="equal">
      <formula>"√"</formula>
    </cfRule>
  </conditionalFormatting>
  <conditionalFormatting sqref="L48">
    <cfRule type="cellIs" dxfId="1063" priority="185" operator="equal">
      <formula>"未完成"</formula>
    </cfRule>
    <cfRule type="cellIs" dxfId="1062" priority="186" operator="equal">
      <formula>"已完成"</formula>
    </cfRule>
  </conditionalFormatting>
  <conditionalFormatting sqref="N49:O49">
    <cfRule type="cellIs" dxfId="1061" priority="183" operator="equal">
      <formula>"×"</formula>
    </cfRule>
    <cfRule type="cellIs" dxfId="1060" priority="184" operator="equal">
      <formula>"√"</formula>
    </cfRule>
  </conditionalFormatting>
  <conditionalFormatting sqref="L49">
    <cfRule type="cellIs" dxfId="1059" priority="181" operator="equal">
      <formula>"未完成"</formula>
    </cfRule>
    <cfRule type="cellIs" dxfId="1058" priority="182" operator="equal">
      <formula>"已完成"</formula>
    </cfRule>
  </conditionalFormatting>
  <conditionalFormatting sqref="N50:O50">
    <cfRule type="cellIs" dxfId="1057" priority="179" operator="equal">
      <formula>"×"</formula>
    </cfRule>
    <cfRule type="cellIs" dxfId="1056" priority="180" operator="equal">
      <formula>"√"</formula>
    </cfRule>
  </conditionalFormatting>
  <conditionalFormatting sqref="L50">
    <cfRule type="cellIs" dxfId="1055" priority="177" operator="equal">
      <formula>"未完成"</formula>
    </cfRule>
    <cfRule type="cellIs" dxfId="1054" priority="178" operator="equal">
      <formula>"已完成"</formula>
    </cfRule>
  </conditionalFormatting>
  <conditionalFormatting sqref="N51:O51">
    <cfRule type="cellIs" dxfId="1053" priority="175" operator="equal">
      <formula>"×"</formula>
    </cfRule>
    <cfRule type="cellIs" dxfId="1052" priority="176" operator="equal">
      <formula>"√"</formula>
    </cfRule>
  </conditionalFormatting>
  <conditionalFormatting sqref="L51">
    <cfRule type="cellIs" dxfId="1051" priority="173" operator="equal">
      <formula>"未完成"</formula>
    </cfRule>
    <cfRule type="cellIs" dxfId="1050" priority="174" operator="equal">
      <formula>"已完成"</formula>
    </cfRule>
  </conditionalFormatting>
  <conditionalFormatting sqref="N52:O52">
    <cfRule type="cellIs" dxfId="1049" priority="171" operator="equal">
      <formula>"×"</formula>
    </cfRule>
    <cfRule type="cellIs" dxfId="1048" priority="172" operator="equal">
      <formula>"√"</formula>
    </cfRule>
  </conditionalFormatting>
  <conditionalFormatting sqref="L52">
    <cfRule type="cellIs" dxfId="1047" priority="169" operator="equal">
      <formula>"未完成"</formula>
    </cfRule>
    <cfRule type="cellIs" dxfId="1046" priority="170" operator="equal">
      <formula>"已完成"</formula>
    </cfRule>
  </conditionalFormatting>
  <conditionalFormatting sqref="N53:O53">
    <cfRule type="cellIs" dxfId="1045" priority="167" operator="equal">
      <formula>"×"</formula>
    </cfRule>
    <cfRule type="cellIs" dxfId="1044" priority="168" operator="equal">
      <formula>"√"</formula>
    </cfRule>
  </conditionalFormatting>
  <conditionalFormatting sqref="L53">
    <cfRule type="cellIs" dxfId="1043" priority="165" operator="equal">
      <formula>"未完成"</formula>
    </cfRule>
    <cfRule type="cellIs" dxfId="1042" priority="166" operator="equal">
      <formula>"已完成"</formula>
    </cfRule>
  </conditionalFormatting>
  <conditionalFormatting sqref="N54:O54">
    <cfRule type="cellIs" dxfId="1041" priority="163" operator="equal">
      <formula>"×"</formula>
    </cfRule>
    <cfRule type="cellIs" dxfId="1040" priority="164" operator="equal">
      <formula>"√"</formula>
    </cfRule>
  </conditionalFormatting>
  <conditionalFormatting sqref="L54">
    <cfRule type="cellIs" dxfId="1039" priority="161" operator="equal">
      <formula>"未完成"</formula>
    </cfRule>
    <cfRule type="cellIs" dxfId="1038" priority="162" operator="equal">
      <formula>"已完成"</formula>
    </cfRule>
  </conditionalFormatting>
  <conditionalFormatting sqref="N55:O55">
    <cfRule type="cellIs" dxfId="1037" priority="159" operator="equal">
      <formula>"×"</formula>
    </cfRule>
    <cfRule type="cellIs" dxfId="1036" priority="160" operator="equal">
      <formula>"√"</formula>
    </cfRule>
  </conditionalFormatting>
  <conditionalFormatting sqref="L55">
    <cfRule type="cellIs" dxfId="1035" priority="157" operator="equal">
      <formula>"未完成"</formula>
    </cfRule>
    <cfRule type="cellIs" dxfId="1034" priority="158" operator="equal">
      <formula>"已完成"</formula>
    </cfRule>
  </conditionalFormatting>
  <conditionalFormatting sqref="N56:O56">
    <cfRule type="cellIs" dxfId="1033" priority="155" operator="equal">
      <formula>"×"</formula>
    </cfRule>
    <cfRule type="cellIs" dxfId="1032" priority="156" operator="equal">
      <formula>"√"</formula>
    </cfRule>
  </conditionalFormatting>
  <conditionalFormatting sqref="L56">
    <cfRule type="cellIs" dxfId="1031" priority="153" operator="equal">
      <formula>"未完成"</formula>
    </cfRule>
    <cfRule type="cellIs" dxfId="1030" priority="154" operator="equal">
      <formula>"已完成"</formula>
    </cfRule>
  </conditionalFormatting>
  <conditionalFormatting sqref="N57:O57">
    <cfRule type="cellIs" dxfId="1029" priority="151" operator="equal">
      <formula>"×"</formula>
    </cfRule>
    <cfRule type="cellIs" dxfId="1028" priority="152" operator="equal">
      <formula>"√"</formula>
    </cfRule>
  </conditionalFormatting>
  <conditionalFormatting sqref="L57">
    <cfRule type="cellIs" dxfId="1027" priority="149" operator="equal">
      <formula>"未完成"</formula>
    </cfRule>
    <cfRule type="cellIs" dxfId="1026" priority="150" operator="equal">
      <formula>"已完成"</formula>
    </cfRule>
  </conditionalFormatting>
  <conditionalFormatting sqref="N58:O58">
    <cfRule type="cellIs" dxfId="1025" priority="147" operator="equal">
      <formula>"×"</formula>
    </cfRule>
    <cfRule type="cellIs" dxfId="1024" priority="148" operator="equal">
      <formula>"√"</formula>
    </cfRule>
  </conditionalFormatting>
  <conditionalFormatting sqref="L58">
    <cfRule type="cellIs" dxfId="1023" priority="145" operator="equal">
      <formula>"未完成"</formula>
    </cfRule>
    <cfRule type="cellIs" dxfId="1022" priority="146" operator="equal">
      <formula>"已完成"</formula>
    </cfRule>
  </conditionalFormatting>
  <conditionalFormatting sqref="N59:O59">
    <cfRule type="cellIs" dxfId="1021" priority="143" operator="equal">
      <formula>"×"</formula>
    </cfRule>
    <cfRule type="cellIs" dxfId="1020" priority="144" operator="equal">
      <formula>"√"</formula>
    </cfRule>
  </conditionalFormatting>
  <conditionalFormatting sqref="L59">
    <cfRule type="cellIs" dxfId="1019" priority="141" operator="equal">
      <formula>"未完成"</formula>
    </cfRule>
    <cfRule type="cellIs" dxfId="1018" priority="142" operator="equal">
      <formula>"已完成"</formula>
    </cfRule>
  </conditionalFormatting>
  <conditionalFormatting sqref="N60:O60">
    <cfRule type="cellIs" dxfId="1017" priority="139" operator="equal">
      <formula>"×"</formula>
    </cfRule>
    <cfRule type="cellIs" dxfId="1016" priority="140" operator="equal">
      <formula>"√"</formula>
    </cfRule>
  </conditionalFormatting>
  <conditionalFormatting sqref="L60">
    <cfRule type="cellIs" dxfId="1015" priority="137" operator="equal">
      <formula>"未完成"</formula>
    </cfRule>
    <cfRule type="cellIs" dxfId="1014" priority="138" operator="equal">
      <formula>"已完成"</formula>
    </cfRule>
  </conditionalFormatting>
  <conditionalFormatting sqref="N61:O61">
    <cfRule type="cellIs" dxfId="1013" priority="135" operator="equal">
      <formula>"×"</formula>
    </cfRule>
    <cfRule type="cellIs" dxfId="1012" priority="136" operator="equal">
      <formula>"√"</formula>
    </cfRule>
  </conditionalFormatting>
  <conditionalFormatting sqref="L61">
    <cfRule type="cellIs" dxfId="1011" priority="133" operator="equal">
      <formula>"未完成"</formula>
    </cfRule>
    <cfRule type="cellIs" dxfId="1010" priority="134" operator="equal">
      <formula>"已完成"</formula>
    </cfRule>
  </conditionalFormatting>
  <conditionalFormatting sqref="N62:O62">
    <cfRule type="cellIs" dxfId="1009" priority="131" operator="equal">
      <formula>"×"</formula>
    </cfRule>
    <cfRule type="cellIs" dxfId="1008" priority="132" operator="equal">
      <formula>"√"</formula>
    </cfRule>
  </conditionalFormatting>
  <conditionalFormatting sqref="L62">
    <cfRule type="cellIs" dxfId="1007" priority="129" operator="equal">
      <formula>"未完成"</formula>
    </cfRule>
    <cfRule type="cellIs" dxfId="1006" priority="130" operator="equal">
      <formula>"已完成"</formula>
    </cfRule>
  </conditionalFormatting>
  <conditionalFormatting sqref="N63:O63">
    <cfRule type="cellIs" dxfId="1005" priority="127" operator="equal">
      <formula>"×"</formula>
    </cfRule>
    <cfRule type="cellIs" dxfId="1004" priority="128" operator="equal">
      <formula>"√"</formula>
    </cfRule>
  </conditionalFormatting>
  <conditionalFormatting sqref="L63">
    <cfRule type="cellIs" dxfId="1003" priority="125" operator="equal">
      <formula>"未完成"</formula>
    </cfRule>
    <cfRule type="cellIs" dxfId="1002" priority="126" operator="equal">
      <formula>"已完成"</formula>
    </cfRule>
  </conditionalFormatting>
  <conditionalFormatting sqref="N64:O64">
    <cfRule type="cellIs" dxfId="1001" priority="123" operator="equal">
      <formula>"×"</formula>
    </cfRule>
    <cfRule type="cellIs" dxfId="1000" priority="124" operator="equal">
      <formula>"√"</formula>
    </cfRule>
  </conditionalFormatting>
  <conditionalFormatting sqref="L64">
    <cfRule type="cellIs" dxfId="999" priority="121" operator="equal">
      <formula>"未完成"</formula>
    </cfRule>
    <cfRule type="cellIs" dxfId="998" priority="122" operator="equal">
      <formula>"已完成"</formula>
    </cfRule>
  </conditionalFormatting>
  <conditionalFormatting sqref="N65:O65">
    <cfRule type="cellIs" dxfId="997" priority="119" operator="equal">
      <formula>"×"</formula>
    </cfRule>
    <cfRule type="cellIs" dxfId="996" priority="120" operator="equal">
      <formula>"√"</formula>
    </cfRule>
  </conditionalFormatting>
  <conditionalFormatting sqref="L65">
    <cfRule type="cellIs" dxfId="995" priority="117" operator="equal">
      <formula>"未完成"</formula>
    </cfRule>
    <cfRule type="cellIs" dxfId="994" priority="118" operator="equal">
      <formula>"已完成"</formula>
    </cfRule>
  </conditionalFormatting>
  <conditionalFormatting sqref="N66:O66">
    <cfRule type="cellIs" dxfId="993" priority="115" operator="equal">
      <formula>"×"</formula>
    </cfRule>
    <cfRule type="cellIs" dxfId="992" priority="116" operator="equal">
      <formula>"√"</formula>
    </cfRule>
  </conditionalFormatting>
  <conditionalFormatting sqref="L66">
    <cfRule type="cellIs" dxfId="991" priority="113" operator="equal">
      <formula>"未完成"</formula>
    </cfRule>
    <cfRule type="cellIs" dxfId="990" priority="114" operator="equal">
      <formula>"已完成"</formula>
    </cfRule>
  </conditionalFormatting>
  <conditionalFormatting sqref="N67:O67">
    <cfRule type="cellIs" dxfId="989" priority="111" operator="equal">
      <formula>"×"</formula>
    </cfRule>
    <cfRule type="cellIs" dxfId="988" priority="112" operator="equal">
      <formula>"√"</formula>
    </cfRule>
  </conditionalFormatting>
  <conditionalFormatting sqref="L67">
    <cfRule type="cellIs" dxfId="987" priority="109" operator="equal">
      <formula>"未完成"</formula>
    </cfRule>
    <cfRule type="cellIs" dxfId="986" priority="110" operator="equal">
      <formula>"已完成"</formula>
    </cfRule>
  </conditionalFormatting>
  <conditionalFormatting sqref="N68:O68">
    <cfRule type="cellIs" dxfId="985" priority="107" operator="equal">
      <formula>"×"</formula>
    </cfRule>
    <cfRule type="cellIs" dxfId="984" priority="108" operator="equal">
      <formula>"√"</formula>
    </cfRule>
  </conditionalFormatting>
  <conditionalFormatting sqref="L68">
    <cfRule type="cellIs" dxfId="983" priority="105" operator="equal">
      <formula>"未完成"</formula>
    </cfRule>
    <cfRule type="cellIs" dxfId="982" priority="106" operator="equal">
      <formula>"已完成"</formula>
    </cfRule>
  </conditionalFormatting>
  <conditionalFormatting sqref="N69:O69">
    <cfRule type="cellIs" dxfId="981" priority="103" operator="equal">
      <formula>"×"</formula>
    </cfRule>
    <cfRule type="cellIs" dxfId="980" priority="104" operator="equal">
      <formula>"√"</formula>
    </cfRule>
  </conditionalFormatting>
  <conditionalFormatting sqref="L69">
    <cfRule type="cellIs" dxfId="979" priority="101" operator="equal">
      <formula>"未完成"</formula>
    </cfRule>
    <cfRule type="cellIs" dxfId="978" priority="102" operator="equal">
      <formula>"已完成"</formula>
    </cfRule>
  </conditionalFormatting>
  <conditionalFormatting sqref="N70:O70">
    <cfRule type="cellIs" dxfId="977" priority="99" operator="equal">
      <formula>"×"</formula>
    </cfRule>
    <cfRule type="cellIs" dxfId="976" priority="100" operator="equal">
      <formula>"√"</formula>
    </cfRule>
  </conditionalFormatting>
  <conditionalFormatting sqref="L70">
    <cfRule type="cellIs" dxfId="975" priority="97" operator="equal">
      <formula>"未完成"</formula>
    </cfRule>
    <cfRule type="cellIs" dxfId="974" priority="98" operator="equal">
      <formula>"已完成"</formula>
    </cfRule>
  </conditionalFormatting>
  <conditionalFormatting sqref="N71:O71">
    <cfRule type="cellIs" dxfId="973" priority="95" operator="equal">
      <formula>"×"</formula>
    </cfRule>
    <cfRule type="cellIs" dxfId="972" priority="96" operator="equal">
      <formula>"√"</formula>
    </cfRule>
  </conditionalFormatting>
  <conditionalFormatting sqref="L71">
    <cfRule type="cellIs" dxfId="971" priority="93" operator="equal">
      <formula>"未完成"</formula>
    </cfRule>
    <cfRule type="cellIs" dxfId="970" priority="94" operator="equal">
      <formula>"已完成"</formula>
    </cfRule>
  </conditionalFormatting>
  <conditionalFormatting sqref="N72:O72">
    <cfRule type="cellIs" dxfId="969" priority="91" operator="equal">
      <formula>"×"</formula>
    </cfRule>
    <cfRule type="cellIs" dxfId="968" priority="92" operator="equal">
      <formula>"√"</formula>
    </cfRule>
  </conditionalFormatting>
  <conditionalFormatting sqref="L72">
    <cfRule type="cellIs" dxfId="967" priority="89" operator="equal">
      <formula>"未完成"</formula>
    </cfRule>
    <cfRule type="cellIs" dxfId="966" priority="90" operator="equal">
      <formula>"已完成"</formula>
    </cfRule>
  </conditionalFormatting>
  <conditionalFormatting sqref="N73:O73">
    <cfRule type="cellIs" dxfId="965" priority="87" operator="equal">
      <formula>"×"</formula>
    </cfRule>
    <cfRule type="cellIs" dxfId="964" priority="88" operator="equal">
      <formula>"√"</formula>
    </cfRule>
  </conditionalFormatting>
  <conditionalFormatting sqref="L73">
    <cfRule type="cellIs" dxfId="963" priority="85" operator="equal">
      <formula>"未完成"</formula>
    </cfRule>
    <cfRule type="cellIs" dxfId="962" priority="86" operator="equal">
      <formula>"已完成"</formula>
    </cfRule>
  </conditionalFormatting>
  <conditionalFormatting sqref="N74:O74">
    <cfRule type="cellIs" dxfId="961" priority="83" operator="equal">
      <formula>"×"</formula>
    </cfRule>
    <cfRule type="cellIs" dxfId="960" priority="84" operator="equal">
      <formula>"√"</formula>
    </cfRule>
  </conditionalFormatting>
  <conditionalFormatting sqref="L74">
    <cfRule type="cellIs" dxfId="959" priority="81" operator="equal">
      <formula>"未完成"</formula>
    </cfRule>
    <cfRule type="cellIs" dxfId="958" priority="82" operator="equal">
      <formula>"已完成"</formula>
    </cfRule>
  </conditionalFormatting>
  <conditionalFormatting sqref="N75:O75">
    <cfRule type="cellIs" dxfId="957" priority="79" operator="equal">
      <formula>"×"</formula>
    </cfRule>
    <cfRule type="cellIs" dxfId="956" priority="80" operator="equal">
      <formula>"√"</formula>
    </cfRule>
  </conditionalFormatting>
  <conditionalFormatting sqref="L75">
    <cfRule type="cellIs" dxfId="955" priority="77" operator="equal">
      <formula>"未完成"</formula>
    </cfRule>
    <cfRule type="cellIs" dxfId="954" priority="78" operator="equal">
      <formula>"已完成"</formula>
    </cfRule>
  </conditionalFormatting>
  <conditionalFormatting sqref="N76:O76">
    <cfRule type="cellIs" dxfId="953" priority="75" operator="equal">
      <formula>"×"</formula>
    </cfRule>
    <cfRule type="cellIs" dxfId="952" priority="76" operator="equal">
      <formula>"√"</formula>
    </cfRule>
  </conditionalFormatting>
  <conditionalFormatting sqref="L76">
    <cfRule type="cellIs" dxfId="951" priority="73" operator="equal">
      <formula>"未完成"</formula>
    </cfRule>
    <cfRule type="cellIs" dxfId="950" priority="74" operator="equal">
      <formula>"已完成"</formula>
    </cfRule>
  </conditionalFormatting>
  <conditionalFormatting sqref="N77:O77">
    <cfRule type="cellIs" dxfId="949" priority="71" operator="equal">
      <formula>"×"</formula>
    </cfRule>
    <cfRule type="cellIs" dxfId="948" priority="72" operator="equal">
      <formula>"√"</formula>
    </cfRule>
  </conditionalFormatting>
  <conditionalFormatting sqref="L77">
    <cfRule type="cellIs" dxfId="947" priority="69" operator="equal">
      <formula>"未完成"</formula>
    </cfRule>
    <cfRule type="cellIs" dxfId="946" priority="70" operator="equal">
      <formula>"已完成"</formula>
    </cfRule>
  </conditionalFormatting>
  <conditionalFormatting sqref="N78:O78">
    <cfRule type="cellIs" dxfId="945" priority="67" operator="equal">
      <formula>"×"</formula>
    </cfRule>
    <cfRule type="cellIs" dxfId="944" priority="68" operator="equal">
      <formula>"√"</formula>
    </cfRule>
  </conditionalFormatting>
  <conditionalFormatting sqref="L78">
    <cfRule type="cellIs" dxfId="943" priority="65" operator="equal">
      <formula>"未完成"</formula>
    </cfRule>
    <cfRule type="cellIs" dxfId="942" priority="66" operator="equal">
      <formula>"已完成"</formula>
    </cfRule>
  </conditionalFormatting>
  <conditionalFormatting sqref="N79:O79">
    <cfRule type="cellIs" dxfId="941" priority="63" operator="equal">
      <formula>"×"</formula>
    </cfRule>
    <cfRule type="cellIs" dxfId="940" priority="64" operator="equal">
      <formula>"√"</formula>
    </cfRule>
  </conditionalFormatting>
  <conditionalFormatting sqref="L79">
    <cfRule type="cellIs" dxfId="939" priority="61" operator="equal">
      <formula>"未完成"</formula>
    </cfRule>
    <cfRule type="cellIs" dxfId="938" priority="62" operator="equal">
      <formula>"已完成"</formula>
    </cfRule>
  </conditionalFormatting>
  <conditionalFormatting sqref="N80:O80">
    <cfRule type="cellIs" dxfId="937" priority="59" operator="equal">
      <formula>"×"</formula>
    </cfRule>
    <cfRule type="cellIs" dxfId="936" priority="60" operator="equal">
      <formula>"√"</formula>
    </cfRule>
  </conditionalFormatting>
  <conditionalFormatting sqref="L80">
    <cfRule type="cellIs" dxfId="935" priority="57" operator="equal">
      <formula>"未完成"</formula>
    </cfRule>
    <cfRule type="cellIs" dxfId="934" priority="58" operator="equal">
      <formula>"已完成"</formula>
    </cfRule>
  </conditionalFormatting>
  <conditionalFormatting sqref="N81:O81">
    <cfRule type="cellIs" dxfId="933" priority="55" operator="equal">
      <formula>"×"</formula>
    </cfRule>
    <cfRule type="cellIs" dxfId="932" priority="56" operator="equal">
      <formula>"√"</formula>
    </cfRule>
  </conditionalFormatting>
  <conditionalFormatting sqref="L81">
    <cfRule type="cellIs" dxfId="931" priority="53" operator="equal">
      <formula>"未完成"</formula>
    </cfRule>
    <cfRule type="cellIs" dxfId="930" priority="54" operator="equal">
      <formula>"已完成"</formula>
    </cfRule>
  </conditionalFormatting>
  <conditionalFormatting sqref="N82:O82">
    <cfRule type="cellIs" dxfId="929" priority="51" operator="equal">
      <formula>"×"</formula>
    </cfRule>
    <cfRule type="cellIs" dxfId="928" priority="52" operator="equal">
      <formula>"√"</formula>
    </cfRule>
  </conditionalFormatting>
  <conditionalFormatting sqref="L82">
    <cfRule type="cellIs" dxfId="927" priority="49" operator="equal">
      <formula>"未完成"</formula>
    </cfRule>
    <cfRule type="cellIs" dxfId="926" priority="50" operator="equal">
      <formula>"已完成"</formula>
    </cfRule>
  </conditionalFormatting>
  <conditionalFormatting sqref="N83:O83">
    <cfRule type="cellIs" dxfId="925" priority="47" operator="equal">
      <formula>"×"</formula>
    </cfRule>
    <cfRule type="cellIs" dxfId="924" priority="48" operator="equal">
      <formula>"√"</formula>
    </cfRule>
  </conditionalFormatting>
  <conditionalFormatting sqref="L83">
    <cfRule type="cellIs" dxfId="923" priority="45" operator="equal">
      <formula>"未完成"</formula>
    </cfRule>
    <cfRule type="cellIs" dxfId="922" priority="46" operator="equal">
      <formula>"已完成"</formula>
    </cfRule>
  </conditionalFormatting>
  <conditionalFormatting sqref="N84:O84">
    <cfRule type="cellIs" dxfId="921" priority="43" operator="equal">
      <formula>"×"</formula>
    </cfRule>
    <cfRule type="cellIs" dxfId="920" priority="44" operator="equal">
      <formula>"√"</formula>
    </cfRule>
  </conditionalFormatting>
  <conditionalFormatting sqref="L84">
    <cfRule type="cellIs" dxfId="919" priority="41" operator="equal">
      <formula>"未完成"</formula>
    </cfRule>
    <cfRule type="cellIs" dxfId="918" priority="42" operator="equal">
      <formula>"已完成"</formula>
    </cfRule>
  </conditionalFormatting>
  <conditionalFormatting sqref="N85:O85">
    <cfRule type="cellIs" dxfId="917" priority="39" operator="equal">
      <formula>"×"</formula>
    </cfRule>
    <cfRule type="cellIs" dxfId="916" priority="40" operator="equal">
      <formula>"√"</formula>
    </cfRule>
  </conditionalFormatting>
  <conditionalFormatting sqref="L85">
    <cfRule type="cellIs" dxfId="915" priority="37" operator="equal">
      <formula>"未完成"</formula>
    </cfRule>
    <cfRule type="cellIs" dxfId="914" priority="38" operator="equal">
      <formula>"已完成"</formula>
    </cfRule>
  </conditionalFormatting>
  <conditionalFormatting sqref="N86:O86">
    <cfRule type="cellIs" dxfId="913" priority="35" operator="equal">
      <formula>"×"</formula>
    </cfRule>
    <cfRule type="cellIs" dxfId="912" priority="36" operator="equal">
      <formula>"√"</formula>
    </cfRule>
  </conditionalFormatting>
  <conditionalFormatting sqref="L86">
    <cfRule type="cellIs" dxfId="911" priority="33" operator="equal">
      <formula>"未完成"</formula>
    </cfRule>
    <cfRule type="cellIs" dxfId="910" priority="34" operator="equal">
      <formula>"已完成"</formula>
    </cfRule>
  </conditionalFormatting>
  <conditionalFormatting sqref="N87:O87">
    <cfRule type="cellIs" dxfId="909" priority="31" operator="equal">
      <formula>"×"</formula>
    </cfRule>
    <cfRule type="cellIs" dxfId="908" priority="32" operator="equal">
      <formula>"√"</formula>
    </cfRule>
  </conditionalFormatting>
  <conditionalFormatting sqref="L87">
    <cfRule type="cellIs" dxfId="907" priority="29" operator="equal">
      <formula>"未完成"</formula>
    </cfRule>
    <cfRule type="cellIs" dxfId="906" priority="30" operator="equal">
      <formula>"已完成"</formula>
    </cfRule>
  </conditionalFormatting>
  <conditionalFormatting sqref="N88:O88">
    <cfRule type="cellIs" dxfId="905" priority="27" operator="equal">
      <formula>"×"</formula>
    </cfRule>
    <cfRule type="cellIs" dxfId="904" priority="28" operator="equal">
      <formula>"√"</formula>
    </cfRule>
  </conditionalFormatting>
  <conditionalFormatting sqref="L88">
    <cfRule type="cellIs" dxfId="903" priority="25" operator="equal">
      <formula>"未完成"</formula>
    </cfRule>
    <cfRule type="cellIs" dxfId="902" priority="26" operator="equal">
      <formula>"已完成"</formula>
    </cfRule>
  </conditionalFormatting>
  <conditionalFormatting sqref="N89:O89">
    <cfRule type="cellIs" dxfId="901" priority="23" operator="equal">
      <formula>"×"</formula>
    </cfRule>
    <cfRule type="cellIs" dxfId="900" priority="24" operator="equal">
      <formula>"√"</formula>
    </cfRule>
  </conditionalFormatting>
  <conditionalFormatting sqref="L89">
    <cfRule type="cellIs" dxfId="899" priority="21" operator="equal">
      <formula>"未完成"</formula>
    </cfRule>
    <cfRule type="cellIs" dxfId="898" priority="22" operator="equal">
      <formula>"已完成"</formula>
    </cfRule>
  </conditionalFormatting>
  <conditionalFormatting sqref="N90:O90">
    <cfRule type="cellIs" dxfId="897" priority="19" operator="equal">
      <formula>"×"</formula>
    </cfRule>
    <cfRule type="cellIs" dxfId="896" priority="20" operator="equal">
      <formula>"√"</formula>
    </cfRule>
  </conditionalFormatting>
  <conditionalFormatting sqref="L90">
    <cfRule type="cellIs" dxfId="895" priority="17" operator="equal">
      <formula>"未完成"</formula>
    </cfRule>
    <cfRule type="cellIs" dxfId="894" priority="18" operator="equal">
      <formula>"已完成"</formula>
    </cfRule>
  </conditionalFormatting>
  <conditionalFormatting sqref="N27:O27">
    <cfRule type="cellIs" dxfId="893" priority="15" operator="equal">
      <formula>"×"</formula>
    </cfRule>
    <cfRule type="cellIs" dxfId="892" priority="16" operator="equal">
      <formula>"√"</formula>
    </cfRule>
  </conditionalFormatting>
  <conditionalFormatting sqref="L27">
    <cfRule type="cellIs" dxfId="891" priority="13" operator="equal">
      <formula>"未完成"</formula>
    </cfRule>
    <cfRule type="cellIs" dxfId="890" priority="14" operator="equal">
      <formula>"已完成"</formula>
    </cfRule>
  </conditionalFormatting>
  <conditionalFormatting sqref="L21">
    <cfRule type="cellIs" dxfId="889" priority="9" operator="equal">
      <formula>"未完成"</formula>
    </cfRule>
    <cfRule type="cellIs" dxfId="888" priority="10" operator="equal">
      <formula>"已完成"</formula>
    </cfRule>
  </conditionalFormatting>
  <conditionalFormatting sqref="D21">
    <cfRule type="cellIs" dxfId="887" priority="11" operator="equal">
      <formula>"×"</formula>
    </cfRule>
    <cfRule type="cellIs" dxfId="886" priority="12" operator="equal">
      <formula>"√"</formula>
    </cfRule>
  </conditionalFormatting>
  <conditionalFormatting sqref="D22:D23 N22:N23">
    <cfRule type="cellIs" dxfId="885" priority="7" operator="equal">
      <formula>"×"</formula>
    </cfRule>
    <cfRule type="cellIs" dxfId="884" priority="8" operator="equal">
      <formula>"√"</formula>
    </cfRule>
  </conditionalFormatting>
  <conditionalFormatting sqref="L22:L23">
    <cfRule type="cellIs" dxfId="883" priority="5" operator="equal">
      <formula>"未完成"</formula>
    </cfRule>
    <cfRule type="cellIs" dxfId="882" priority="6" operator="equal">
      <formula>"已完成"</formula>
    </cfRule>
  </conditionalFormatting>
  <conditionalFormatting sqref="D24 N24">
    <cfRule type="cellIs" dxfId="881" priority="3" operator="equal">
      <formula>"×"</formula>
    </cfRule>
    <cfRule type="cellIs" dxfId="880" priority="4" operator="equal">
      <formula>"√"</formula>
    </cfRule>
  </conditionalFormatting>
  <conditionalFormatting sqref="L24">
    <cfRule type="cellIs" dxfId="879" priority="1" operator="equal">
      <formula>"未完成"</formula>
    </cfRule>
    <cfRule type="cellIs" dxfId="878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L19:L20 L22:L24</xm:sqref>
        </x14:dataValidation>
        <x14:dataValidation type="list" allowBlank="1" showInputMessage="1" showErrorMessage="1">
          <x14:formula1>
            <xm:f>配置!$G$3:$G$7</xm:f>
          </x14:formula1>
          <xm:sqref>G19:G20 G22:G24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C22:C24</xm:sqref>
        </x14:dataValidation>
        <x14:dataValidation type="list" allowBlank="1" showInputMessage="1" showErrorMessage="1">
          <x14:formula1>
            <xm:f>配置!$I$4:$I$8</xm:f>
          </x14:formula1>
          <xm:sqref>E22:F24</xm:sqref>
        </x14:dataValidation>
        <x14:dataValidation type="list" allowBlank="1" showInputMessage="1" showErrorMessage="1">
          <x14:formula1>
            <xm:f>配置!$M$3:$M$5</xm:f>
          </x14:formula1>
          <xm:sqref>I22:I24</xm:sqref>
        </x14:dataValidation>
        <x14:dataValidation type="list" allowBlank="1" showInputMessage="1" showErrorMessage="1">
          <x14:formula1>
            <xm:f>配置!$E$3:$E$5</xm:f>
          </x14:formula1>
          <xm:sqref>L6:L17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"/>
  <sheetViews>
    <sheetView tabSelected="1" workbookViewId="0">
      <selection activeCell="F6" sqref="F6"/>
    </sheetView>
  </sheetViews>
  <sheetFormatPr defaultRowHeight="13.9" x14ac:dyDescent="0.4"/>
  <sheetData/>
  <sheetProtection sheet="1" objects="1" scenarios="1"/>
  <phoneticPr fontId="1" type="noConversion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V95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F8" sqref="F8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77"/>
      <c r="B2" s="206" t="s">
        <v>55</v>
      </c>
      <c r="C2" s="207"/>
      <c r="D2" s="78" t="s">
        <v>144</v>
      </c>
      <c r="E2" s="206" t="s">
        <v>44</v>
      </c>
      <c r="F2" s="207"/>
      <c r="G2" s="208"/>
      <c r="H2" s="209"/>
      <c r="I2" s="210"/>
      <c r="J2" s="211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52</v>
      </c>
      <c r="H3" s="217"/>
      <c r="I3" s="212" t="s">
        <v>56</v>
      </c>
      <c r="J3" s="218" t="s">
        <v>8</v>
      </c>
      <c r="K3" s="219"/>
      <c r="L3" s="189" t="s">
        <v>14</v>
      </c>
      <c r="M3" s="84"/>
      <c r="N3" s="195" t="s">
        <v>96</v>
      </c>
      <c r="O3" s="197" t="s">
        <v>56</v>
      </c>
      <c r="P3" s="198"/>
      <c r="Q3" s="201" t="s">
        <v>16</v>
      </c>
    </row>
    <row r="4" spans="1:18" s="10" customFormat="1" ht="16.05" customHeight="1" x14ac:dyDescent="0.45">
      <c r="A4" s="85"/>
      <c r="B4" s="213"/>
      <c r="C4" s="215"/>
      <c r="D4" s="213"/>
      <c r="E4" s="86" t="s">
        <v>53</v>
      </c>
      <c r="F4" s="86" t="s">
        <v>54</v>
      </c>
      <c r="G4" s="87" t="s">
        <v>12</v>
      </c>
      <c r="H4" s="88" t="s">
        <v>13</v>
      </c>
      <c r="I4" s="213"/>
      <c r="J4" s="99" t="s">
        <v>12</v>
      </c>
      <c r="K4" s="99" t="s">
        <v>13</v>
      </c>
      <c r="L4" s="190"/>
      <c r="M4" s="89" t="s">
        <v>15</v>
      </c>
      <c r="N4" s="196"/>
      <c r="O4" s="199"/>
      <c r="P4" s="200"/>
      <c r="Q4" s="202"/>
    </row>
    <row r="5" spans="1:18" s="10" customFormat="1" ht="20" customHeight="1" x14ac:dyDescent="0.5">
      <c r="A5" s="59"/>
      <c r="B5" s="220" t="s">
        <v>95</v>
      </c>
      <c r="C5" s="221"/>
      <c r="D5" s="222"/>
      <c r="E5" s="104">
        <v>0.74305555555555547</v>
      </c>
      <c r="F5" s="32">
        <v>0.79166666666666663</v>
      </c>
      <c r="G5" s="223" t="str">
        <f>IF(L5="","",IF(G5="",$G$2,G5))</f>
        <v/>
      </c>
      <c r="H5" s="224"/>
      <c r="I5" s="223" t="str">
        <f ca="1">IF(L5="","",IF(I5="",TEXT(NOW(),"yyyy-mm-dd h:mm:ss"),I5))</f>
        <v/>
      </c>
      <c r="J5" s="225"/>
      <c r="K5" s="224"/>
      <c r="L5" s="33"/>
      <c r="M5" s="45" t="str">
        <f t="shared" ref="M5:M16" ca="1" si="0">IF(M5=0,"",IF(L5&lt;&gt;M5,L5,M5))</f>
        <v/>
      </c>
      <c r="N5" s="49" t="str">
        <f>IF(L5="未完成","×",IF(L5="已完成","√",""))</f>
        <v/>
      </c>
      <c r="O5" s="226" t="str">
        <f>IF(L5="","",IF(AND(TEXT(I5,"yyyymmddhhmmss")&gt;TEXT(SheetName,"yyyymmdd")&amp;TEXT(E5,"hhmmss"),TEXT(I5,"yyyymmddhhmmss")&lt;TEXT(SheetName,"yyyymmdd")&amp;TEXT(F5,"hhmmss")),"","超  时"))</f>
        <v/>
      </c>
      <c r="P5" s="227"/>
      <c r="Q5" s="50"/>
    </row>
    <row r="6" spans="1:18" s="8" customFormat="1" ht="20" customHeight="1" x14ac:dyDescent="0.5">
      <c r="A6" s="60"/>
      <c r="B6" s="61">
        <v>1</v>
      </c>
      <c r="C6" s="25" t="s">
        <v>48</v>
      </c>
      <c r="D6" s="26" t="s">
        <v>18</v>
      </c>
      <c r="E6" s="104">
        <v>0.74305555555555547</v>
      </c>
      <c r="F6" s="32">
        <v>0.99930555555555556</v>
      </c>
      <c r="G6" s="25" t="str">
        <f t="shared" ref="G6:G16" si="1">IF(L6="","",IF(G6="",$G$2,G6))</f>
        <v/>
      </c>
      <c r="H6" s="25" t="str">
        <f t="shared" ref="H6:H16" ca="1" si="2">IF(L6="","",IF(H6="",TEXT(NOW(),"yyyy-mm-dd h:mm:ss"),H6))</f>
        <v/>
      </c>
      <c r="I6" s="43" t="str">
        <f t="shared" ref="I6:I16" si="3">IF(L6="","",IF(AND(TEXT(H6,"yyyymmddhhmmss")&gt;TEXT(SheetName,"yyyymmdd")&amp;TEXT(E6,"hhmmss"),TEXT(H6,"yyyymmddhhmmss")&lt;TEXT(SheetName,"yyyymmdd")&amp;TEXT(F6,"hhmmss")),"","超  时"))</f>
        <v/>
      </c>
      <c r="J6" s="25" t="str">
        <f t="shared" ref="J6:J16" si="4">IF(L6 ="","",IF(L6&lt;&gt;M6,$G$2,J6))</f>
        <v/>
      </c>
      <c r="K6" s="25" t="str">
        <f t="shared" ref="K6:K16" ca="1" si="5">IF(L6 = "","",IF(L6&lt;&gt;M6,TEXT(NOW(),"yyyy-mm-dd h:mm:ss"),K6))</f>
        <v/>
      </c>
      <c r="L6" s="18"/>
      <c r="M6" s="5" t="str">
        <f t="shared" ca="1" si="0"/>
        <v/>
      </c>
      <c r="N6" s="100" t="str">
        <f t="shared" ref="N6:N16" si="6">IF(L6="未完成","×",IF(L6="已完成","√",""))</f>
        <v/>
      </c>
      <c r="O6" s="226" t="str">
        <f t="shared" ref="O6:O16" si="7">IF(L6="","",IF(AND(TEXT(K6,"yyyymmddhhmmss")&gt;TEXT(SheetName,"yyyymmdd")&amp;TEXT(E6,"hhmmss"),TEXT(K6,"yyyymmddhhmmss")&lt;TEXT(SheetName,"yyyymmdd")&amp;TEXT(F6,"hhmmss")),"","超  时"))</f>
        <v/>
      </c>
      <c r="P6" s="227"/>
      <c r="Q6" s="101"/>
    </row>
    <row r="7" spans="1:18" s="2" customFormat="1" ht="20" customHeight="1" x14ac:dyDescent="0.5">
      <c r="A7" s="60"/>
      <c r="B7" s="61">
        <v>2</v>
      </c>
      <c r="C7" s="25" t="s">
        <v>48</v>
      </c>
      <c r="D7" s="26" t="s">
        <v>102</v>
      </c>
      <c r="E7" s="104">
        <v>0.74305555555555547</v>
      </c>
      <c r="F7" s="32">
        <v>0.99930555555555556</v>
      </c>
      <c r="G7" s="25" t="str">
        <f t="shared" si="1"/>
        <v/>
      </c>
      <c r="H7" s="25" t="str">
        <f t="shared" ca="1" si="2"/>
        <v/>
      </c>
      <c r="I7" s="43" t="str">
        <f t="shared" si="3"/>
        <v/>
      </c>
      <c r="J7" s="25" t="str">
        <f t="shared" si="4"/>
        <v/>
      </c>
      <c r="K7" s="25" t="str">
        <f t="shared" ca="1" si="5"/>
        <v/>
      </c>
      <c r="L7" s="18"/>
      <c r="M7" s="5" t="str">
        <f t="shared" ca="1" si="0"/>
        <v/>
      </c>
      <c r="N7" s="100" t="str">
        <f t="shared" si="6"/>
        <v/>
      </c>
      <c r="O7" s="226" t="str">
        <f t="shared" si="7"/>
        <v/>
      </c>
      <c r="P7" s="227"/>
      <c r="Q7" s="101"/>
      <c r="R7" s="8"/>
    </row>
    <row r="8" spans="1:18" s="2" customFormat="1" ht="20" customHeight="1" x14ac:dyDescent="0.5">
      <c r="A8" s="60"/>
      <c r="B8" s="61">
        <v>3</v>
      </c>
      <c r="C8" s="25" t="s">
        <v>48</v>
      </c>
      <c r="D8" s="26" t="s">
        <v>103</v>
      </c>
      <c r="E8" s="104">
        <v>0.74305555555555547</v>
      </c>
      <c r="F8" s="32">
        <v>0.99930555555555556</v>
      </c>
      <c r="G8" s="25" t="str">
        <f t="shared" si="1"/>
        <v/>
      </c>
      <c r="H8" s="25" t="str">
        <f t="shared" ca="1" si="2"/>
        <v/>
      </c>
      <c r="I8" s="43" t="str">
        <f t="shared" si="3"/>
        <v/>
      </c>
      <c r="J8" s="25" t="str">
        <f t="shared" si="4"/>
        <v/>
      </c>
      <c r="K8" s="25" t="str">
        <f t="shared" ca="1" si="5"/>
        <v/>
      </c>
      <c r="L8" s="18"/>
      <c r="M8" s="5" t="str">
        <f t="shared" ca="1" si="0"/>
        <v/>
      </c>
      <c r="N8" s="100" t="str">
        <f t="shared" si="6"/>
        <v/>
      </c>
      <c r="O8" s="226" t="str">
        <f t="shared" si="7"/>
        <v/>
      </c>
      <c r="P8" s="227"/>
      <c r="Q8" s="102"/>
      <c r="R8" s="8"/>
    </row>
    <row r="9" spans="1:18" s="2" customFormat="1" ht="20" customHeight="1" x14ac:dyDescent="0.5">
      <c r="A9" s="60"/>
      <c r="B9" s="61">
        <v>4</v>
      </c>
      <c r="C9" s="25" t="s">
        <v>48</v>
      </c>
      <c r="D9" s="26" t="s">
        <v>19</v>
      </c>
      <c r="E9" s="104">
        <v>0.74305555555555547</v>
      </c>
      <c r="F9" s="32">
        <v>0.99930555555555556</v>
      </c>
      <c r="G9" s="25" t="str">
        <f t="shared" si="1"/>
        <v/>
      </c>
      <c r="H9" s="25" t="str">
        <f t="shared" ca="1" si="2"/>
        <v/>
      </c>
      <c r="I9" s="43" t="str">
        <f t="shared" si="3"/>
        <v/>
      </c>
      <c r="J9" s="25" t="str">
        <f t="shared" si="4"/>
        <v/>
      </c>
      <c r="K9" s="25" t="str">
        <f t="shared" ca="1" si="5"/>
        <v/>
      </c>
      <c r="L9" s="18"/>
      <c r="M9" s="5" t="str">
        <f t="shared" ca="1" si="0"/>
        <v/>
      </c>
      <c r="N9" s="100" t="str">
        <f t="shared" si="6"/>
        <v/>
      </c>
      <c r="O9" s="226" t="str">
        <f t="shared" si="7"/>
        <v/>
      </c>
      <c r="P9" s="227"/>
      <c r="Q9" s="103"/>
      <c r="R9" s="8"/>
    </row>
    <row r="10" spans="1:18" s="2" customFormat="1" ht="20" customHeight="1" x14ac:dyDescent="0.5">
      <c r="A10" s="62" t="s">
        <v>116</v>
      </c>
      <c r="B10" s="61">
        <v>5</v>
      </c>
      <c r="C10" s="25" t="s">
        <v>48</v>
      </c>
      <c r="D10" s="26" t="s">
        <v>20</v>
      </c>
      <c r="E10" s="104">
        <v>0.74305555555555547</v>
      </c>
      <c r="F10" s="32">
        <v>0.99930555555555556</v>
      </c>
      <c r="G10" s="25" t="str">
        <f t="shared" si="1"/>
        <v/>
      </c>
      <c r="H10" s="25" t="str">
        <f t="shared" ca="1" si="2"/>
        <v/>
      </c>
      <c r="I10" s="43" t="str">
        <f t="shared" si="3"/>
        <v/>
      </c>
      <c r="J10" s="25" t="str">
        <f t="shared" si="4"/>
        <v/>
      </c>
      <c r="K10" s="25" t="str">
        <f t="shared" ca="1" si="5"/>
        <v/>
      </c>
      <c r="L10" s="18"/>
      <c r="M10" s="5" t="str">
        <f t="shared" ca="1" si="0"/>
        <v/>
      </c>
      <c r="N10" s="100" t="str">
        <f t="shared" si="6"/>
        <v/>
      </c>
      <c r="O10" s="226" t="str">
        <f t="shared" si="7"/>
        <v/>
      </c>
      <c r="P10" s="227"/>
      <c r="Q10" s="50"/>
      <c r="R10" s="8"/>
    </row>
    <row r="11" spans="1:18" s="2" customFormat="1" ht="20" customHeight="1" x14ac:dyDescent="0.5">
      <c r="A11" s="62"/>
      <c r="B11" s="61">
        <v>6</v>
      </c>
      <c r="C11" s="25" t="s">
        <v>48</v>
      </c>
      <c r="D11" s="26" t="s">
        <v>21</v>
      </c>
      <c r="E11" s="104">
        <v>0.74305555555555547</v>
      </c>
      <c r="F11" s="32">
        <v>0.99930555555555556</v>
      </c>
      <c r="G11" s="25" t="str">
        <f t="shared" si="1"/>
        <v/>
      </c>
      <c r="H11" s="25" t="str">
        <f t="shared" ca="1" si="2"/>
        <v/>
      </c>
      <c r="I11" s="43" t="str">
        <f t="shared" si="3"/>
        <v/>
      </c>
      <c r="J11" s="25" t="str">
        <f t="shared" si="4"/>
        <v/>
      </c>
      <c r="K11" s="25" t="str">
        <f t="shared" ca="1" si="5"/>
        <v/>
      </c>
      <c r="L11" s="18"/>
      <c r="M11" s="5" t="str">
        <f t="shared" ca="1" si="0"/>
        <v/>
      </c>
      <c r="N11" s="100" t="str">
        <f t="shared" si="6"/>
        <v/>
      </c>
      <c r="O11" s="226" t="str">
        <f t="shared" si="7"/>
        <v/>
      </c>
      <c r="P11" s="227"/>
      <c r="Q11" s="50"/>
      <c r="R11" s="8"/>
    </row>
    <row r="12" spans="1:18" s="2" customFormat="1" ht="20" customHeight="1" x14ac:dyDescent="0.5">
      <c r="A12" s="62"/>
      <c r="B12" s="61">
        <v>7</v>
      </c>
      <c r="C12" s="25" t="s">
        <v>48</v>
      </c>
      <c r="D12" s="26" t="s">
        <v>22</v>
      </c>
      <c r="E12" s="104">
        <v>0.74305555555555547</v>
      </c>
      <c r="F12" s="32">
        <v>0.99930555555555556</v>
      </c>
      <c r="G12" s="25" t="str">
        <f t="shared" si="1"/>
        <v/>
      </c>
      <c r="H12" s="25" t="str">
        <f t="shared" ca="1" si="2"/>
        <v/>
      </c>
      <c r="I12" s="43" t="str">
        <f t="shared" si="3"/>
        <v/>
      </c>
      <c r="J12" s="25" t="str">
        <f t="shared" si="4"/>
        <v/>
      </c>
      <c r="K12" s="25" t="str">
        <f t="shared" ca="1" si="5"/>
        <v/>
      </c>
      <c r="L12" s="18"/>
      <c r="M12" s="5" t="str">
        <f t="shared" ca="1" si="0"/>
        <v/>
      </c>
      <c r="N12" s="100" t="str">
        <f t="shared" si="6"/>
        <v/>
      </c>
      <c r="O12" s="226" t="str">
        <f t="shared" si="7"/>
        <v/>
      </c>
      <c r="P12" s="227"/>
      <c r="Q12" s="50"/>
      <c r="R12" s="8"/>
    </row>
    <row r="13" spans="1:18" s="2" customFormat="1" ht="20" customHeight="1" x14ac:dyDescent="0.5">
      <c r="A13" s="60"/>
      <c r="B13" s="61">
        <v>8</v>
      </c>
      <c r="C13" s="25" t="s">
        <v>49</v>
      </c>
      <c r="D13" s="26" t="s">
        <v>115</v>
      </c>
      <c r="E13" s="104">
        <v>0.74305555555555547</v>
      </c>
      <c r="F13" s="32">
        <v>0.99930555555555556</v>
      </c>
      <c r="G13" s="25" t="str">
        <f t="shared" si="1"/>
        <v/>
      </c>
      <c r="H13" s="25" t="str">
        <f t="shared" ca="1" si="2"/>
        <v/>
      </c>
      <c r="I13" s="43" t="str">
        <f t="shared" si="3"/>
        <v/>
      </c>
      <c r="J13" s="25" t="str">
        <f t="shared" si="4"/>
        <v/>
      </c>
      <c r="K13" s="25" t="str">
        <f t="shared" ca="1" si="5"/>
        <v/>
      </c>
      <c r="L13" s="18"/>
      <c r="M13" s="5" t="str">
        <f t="shared" ca="1" si="0"/>
        <v/>
      </c>
      <c r="N13" s="100" t="str">
        <f t="shared" si="6"/>
        <v/>
      </c>
      <c r="O13" s="226" t="str">
        <f t="shared" si="7"/>
        <v/>
      </c>
      <c r="P13" s="227"/>
      <c r="Q13" s="50"/>
      <c r="R13" s="8"/>
    </row>
    <row r="14" spans="1:18" s="2" customFormat="1" ht="20" customHeight="1" x14ac:dyDescent="0.5">
      <c r="A14" s="60"/>
      <c r="B14" s="61">
        <v>9</v>
      </c>
      <c r="C14" s="25" t="s">
        <v>49</v>
      </c>
      <c r="D14" s="26" t="s">
        <v>23</v>
      </c>
      <c r="E14" s="104">
        <v>0.74305555555555547</v>
      </c>
      <c r="F14" s="32">
        <v>0.99930555555555556</v>
      </c>
      <c r="G14" s="25" t="str">
        <f t="shared" ref="G14:G15" si="8">IF(L14="","",IF(G14="",$G$2,G14))</f>
        <v/>
      </c>
      <c r="H14" s="25" t="str">
        <f t="shared" ref="H14:H15" ca="1" si="9">IF(L14="","",IF(H14="",TEXT(NOW(),"yyyy-mm-dd h:mm:ss"),H14))</f>
        <v/>
      </c>
      <c r="I14" s="43" t="str">
        <f t="shared" ref="I14:I15" si="10">IF(L14="","",IF(AND(TEXT(H14,"yyyymmddhhmmss")&gt;TEXT(SheetName,"yyyymmdd")&amp;TEXT(E14,"hhmmss"),TEXT(H14,"yyyymmddhhmmss")&lt;TEXT(SheetName,"yyyymmdd")&amp;TEXT(F14,"hhmmss")),"","超  时"))</f>
        <v/>
      </c>
      <c r="J14" s="25" t="str">
        <f t="shared" ref="J14:J15" si="11">IF(L14 ="","",IF(L14&lt;&gt;M14,$G$2,J14))</f>
        <v/>
      </c>
      <c r="K14" s="25" t="str">
        <f t="shared" ref="K14:K15" ca="1" si="12">IF(L14 = "","",IF(L14&lt;&gt;M14,TEXT(NOW(),"yyyy-mm-dd h:mm:ss"),K14))</f>
        <v/>
      </c>
      <c r="L14" s="18"/>
      <c r="M14" s="5" t="str">
        <f t="shared" ref="M14:M15" ca="1" si="13">IF(M14=0,"",IF(L14&lt;&gt;M14,L14,M14))</f>
        <v/>
      </c>
      <c r="N14" s="100" t="str">
        <f t="shared" ref="N14:N15" si="14">IF(L14="未完成","×",IF(L14="已完成","√",""))</f>
        <v/>
      </c>
      <c r="O14" s="226" t="str">
        <f t="shared" ref="O14:O15" si="15">IF(L14="","",IF(AND(TEXT(K14,"yyyymmddhhmmss")&gt;TEXT(SheetName,"yyyymmdd")&amp;TEXT(E14,"hhmmss"),TEXT(K14,"yyyymmddhhmmss")&lt;TEXT(SheetName,"yyyymmdd")&amp;TEXT(F14,"hhmmss")),"","超  时"))</f>
        <v/>
      </c>
      <c r="P14" s="227"/>
      <c r="Q14" s="50"/>
      <c r="R14" s="8"/>
    </row>
    <row r="15" spans="1:18" s="2" customFormat="1" ht="20" customHeight="1" x14ac:dyDescent="0.5">
      <c r="A15" s="60"/>
      <c r="B15" s="61">
        <v>10</v>
      </c>
      <c r="C15" s="25" t="s">
        <v>151</v>
      </c>
      <c r="D15" s="26" t="s">
        <v>154</v>
      </c>
      <c r="E15" s="104">
        <v>0.75</v>
      </c>
      <c r="F15" s="32">
        <v>0.99930555555555556</v>
      </c>
      <c r="G15" s="25" t="str">
        <f t="shared" si="8"/>
        <v/>
      </c>
      <c r="H15" s="25" t="str">
        <f t="shared" ca="1" si="9"/>
        <v/>
      </c>
      <c r="I15" s="43" t="str">
        <f t="shared" si="10"/>
        <v/>
      </c>
      <c r="J15" s="25" t="str">
        <f t="shared" si="11"/>
        <v/>
      </c>
      <c r="K15" s="25" t="str">
        <f t="shared" ca="1" si="12"/>
        <v/>
      </c>
      <c r="L15" s="18"/>
      <c r="M15" s="5" t="str">
        <f t="shared" ca="1" si="13"/>
        <v/>
      </c>
      <c r="N15" s="100" t="str">
        <f t="shared" si="14"/>
        <v/>
      </c>
      <c r="O15" s="226" t="str">
        <f t="shared" si="15"/>
        <v/>
      </c>
      <c r="P15" s="227"/>
      <c r="Q15" s="50"/>
      <c r="R15" s="8"/>
    </row>
    <row r="16" spans="1:18" s="2" customFormat="1" ht="20" customHeight="1" x14ac:dyDescent="0.5">
      <c r="A16" s="60"/>
      <c r="B16" s="61">
        <v>11</v>
      </c>
      <c r="C16" s="25" t="s">
        <v>152</v>
      </c>
      <c r="D16" s="26" t="s">
        <v>153</v>
      </c>
      <c r="E16" s="104">
        <v>0.75</v>
      </c>
      <c r="F16" s="32">
        <v>0.99930555555555556</v>
      </c>
      <c r="G16" s="25" t="str">
        <f t="shared" si="1"/>
        <v/>
      </c>
      <c r="H16" s="25" t="str">
        <f t="shared" ca="1" si="2"/>
        <v/>
      </c>
      <c r="I16" s="43" t="str">
        <f t="shared" si="3"/>
        <v/>
      </c>
      <c r="J16" s="25" t="str">
        <f t="shared" si="4"/>
        <v/>
      </c>
      <c r="K16" s="25" t="str">
        <f t="shared" ca="1" si="5"/>
        <v/>
      </c>
      <c r="L16" s="18"/>
      <c r="M16" s="5" t="str">
        <f t="shared" ca="1" si="0"/>
        <v/>
      </c>
      <c r="N16" s="100" t="str">
        <f t="shared" si="6"/>
        <v/>
      </c>
      <c r="O16" s="226" t="str">
        <f t="shared" si="7"/>
        <v/>
      </c>
      <c r="P16" s="227"/>
      <c r="Q16" s="50"/>
      <c r="R16" s="8"/>
    </row>
    <row r="17" spans="1:18" s="2" customFormat="1" ht="20" customHeight="1" x14ac:dyDescent="0.5">
      <c r="A17" s="60"/>
      <c r="B17" s="178" t="s">
        <v>79</v>
      </c>
      <c r="C17" s="179"/>
      <c r="D17" s="46" t="s">
        <v>76</v>
      </c>
      <c r="E17" s="180" t="s">
        <v>72</v>
      </c>
      <c r="F17" s="181"/>
      <c r="G17" s="90" t="s">
        <v>73</v>
      </c>
      <c r="H17" s="180" t="s">
        <v>77</v>
      </c>
      <c r="I17" s="181"/>
      <c r="J17" s="90" t="s">
        <v>78</v>
      </c>
      <c r="K17" s="98" t="s">
        <v>80</v>
      </c>
      <c r="L17" s="180" t="s">
        <v>70</v>
      </c>
      <c r="M17" s="182"/>
      <c r="N17" s="182"/>
      <c r="O17" s="182"/>
      <c r="P17" s="181"/>
      <c r="Q17" s="91" t="s">
        <v>71</v>
      </c>
      <c r="R17" s="8"/>
    </row>
    <row r="18" spans="1:18" s="2" customFormat="1" ht="30" customHeight="1" x14ac:dyDescent="0.5">
      <c r="A18" s="60"/>
      <c r="B18" s="223" t="s">
        <v>74</v>
      </c>
      <c r="C18" s="224"/>
      <c r="D18" s="51"/>
      <c r="E18" s="168"/>
      <c r="F18" s="169"/>
      <c r="G18" s="52"/>
      <c r="H18" s="185"/>
      <c r="I18" s="186"/>
      <c r="J18" s="131" t="str">
        <f>IF(L18 ="","",IF(L18&lt;&gt;M18,$G$2,J18))</f>
        <v/>
      </c>
      <c r="K18" s="132" t="str">
        <f ca="1">IF(L18 = "","",IF(L18&lt;&gt;M18,TEXT(NOW(),"yyyy-mm-dd h:mm:ss"),K18))</f>
        <v/>
      </c>
      <c r="L18" s="18"/>
      <c r="M18" s="71" t="str">
        <f t="shared" ref="M18:M19" ca="1" si="16">IF(M18=0,"",IF(L18&lt;&gt;M18,L18,M18))</f>
        <v/>
      </c>
      <c r="N18" s="228" t="str">
        <f>IF(L18="未完成","×",IF(L18="已完成","√",""))</f>
        <v/>
      </c>
      <c r="O18" s="229"/>
      <c r="P18" s="230"/>
      <c r="Q18" s="66"/>
      <c r="R18" s="8"/>
    </row>
    <row r="19" spans="1:18" s="2" customFormat="1" ht="30" customHeight="1" x14ac:dyDescent="0.5">
      <c r="A19" s="60"/>
      <c r="B19" s="223" t="s">
        <v>75</v>
      </c>
      <c r="C19" s="224"/>
      <c r="D19" s="51"/>
      <c r="E19" s="168"/>
      <c r="F19" s="169"/>
      <c r="G19" s="52"/>
      <c r="H19" s="185"/>
      <c r="I19" s="186"/>
      <c r="J19" s="131" t="str">
        <f t="shared" ref="J19" si="17">IF(L19 ="","",IF(L19&lt;&gt;M19,$G$2,J19))</f>
        <v/>
      </c>
      <c r="K19" s="132" t="str">
        <f ca="1">IF(L19 = "","",IF(L19&lt;&gt;M19,TEXT(NOW(),"yyyy-mm-dd h:mm:ss"),K19))</f>
        <v/>
      </c>
      <c r="L19" s="18"/>
      <c r="M19" s="45" t="str">
        <f t="shared" ca="1" si="16"/>
        <v/>
      </c>
      <c r="N19" s="231" t="str">
        <f>IF(L19="未完成","×",IF(L19="已完成","√",""))</f>
        <v/>
      </c>
      <c r="O19" s="231"/>
      <c r="P19" s="232"/>
      <c r="Q19" s="67"/>
      <c r="R19" s="8"/>
    </row>
    <row r="20" spans="1:18" s="2" customFormat="1" ht="20" customHeight="1" x14ac:dyDescent="0.5">
      <c r="A20" s="60"/>
      <c r="B20" s="178" t="s">
        <v>110</v>
      </c>
      <c r="C20" s="179"/>
      <c r="D20" s="46" t="s">
        <v>76</v>
      </c>
      <c r="E20" s="180" t="s">
        <v>68</v>
      </c>
      <c r="F20" s="181"/>
      <c r="G20" s="90" t="s">
        <v>73</v>
      </c>
      <c r="H20" s="90" t="s">
        <v>109</v>
      </c>
      <c r="I20" s="90" t="s">
        <v>108</v>
      </c>
      <c r="J20" s="90" t="s">
        <v>78</v>
      </c>
      <c r="K20" s="98" t="s">
        <v>80</v>
      </c>
      <c r="L20" s="180" t="s">
        <v>70</v>
      </c>
      <c r="M20" s="182"/>
      <c r="N20" s="182"/>
      <c r="O20" s="182"/>
      <c r="P20" s="181"/>
      <c r="Q20" s="91" t="s">
        <v>71</v>
      </c>
      <c r="R20" s="8"/>
    </row>
    <row r="21" spans="1:18" s="2" customFormat="1" ht="20" customHeight="1" x14ac:dyDescent="0.5">
      <c r="A21" s="60"/>
      <c r="B21" s="235" t="s">
        <v>111</v>
      </c>
      <c r="C21" s="95"/>
      <c r="D21" s="51"/>
      <c r="E21" s="168"/>
      <c r="F21" s="169"/>
      <c r="G21" s="52"/>
      <c r="H21" s="106" t="str">
        <f ca="1">IF(I21 = "", "", TEXT(NOW(),"yy-mm-dd hh:mm:ss"))</f>
        <v/>
      </c>
      <c r="I21" s="94"/>
      <c r="J21" s="25" t="s">
        <v>106</v>
      </c>
      <c r="K21" s="76" t="str">
        <f ca="1">IF(L21 = "","",IF(L21&lt;&gt;M21,TEXT(NOW(),"yyyy-mm-dd h:mm:ss"),K21))</f>
        <v/>
      </c>
      <c r="L21" s="18"/>
      <c r="M21" s="71" t="s">
        <v>106</v>
      </c>
      <c r="N21" s="228" t="s">
        <v>106</v>
      </c>
      <c r="O21" s="229"/>
      <c r="P21" s="230"/>
      <c r="Q21" s="66"/>
      <c r="R21" s="8"/>
    </row>
    <row r="22" spans="1:18" s="2" customFormat="1" ht="20" customHeight="1" x14ac:dyDescent="0.5">
      <c r="A22" s="60"/>
      <c r="B22" s="236"/>
      <c r="C22" s="95"/>
      <c r="D22" s="51"/>
      <c r="E22" s="168"/>
      <c r="F22" s="169"/>
      <c r="G22" s="52"/>
      <c r="H22" s="106" t="str">
        <f t="shared" ref="H22:H23" ca="1" si="18">IF(I22 = "", "", TEXT(NOW(),"yy-mm-dd hh:mm:ss"))</f>
        <v/>
      </c>
      <c r="I22" s="94"/>
      <c r="J22" s="25" t="s">
        <v>106</v>
      </c>
      <c r="K22" s="76" t="str">
        <f t="shared" ref="K22:K23" ca="1" si="19">IF(L22 = "","",IF(L22&lt;&gt;M22,TEXT(NOW(),"yyyy-mm-dd h:mm:ss"),K22))</f>
        <v/>
      </c>
      <c r="L22" s="18"/>
      <c r="M22" s="45" t="s">
        <v>106</v>
      </c>
      <c r="N22" s="231" t="s">
        <v>106</v>
      </c>
      <c r="O22" s="231"/>
      <c r="P22" s="232"/>
      <c r="Q22" s="67"/>
      <c r="R22" s="8"/>
    </row>
    <row r="23" spans="1:18" s="2" customFormat="1" ht="20" customHeight="1" x14ac:dyDescent="0.5">
      <c r="A23" s="60"/>
      <c r="B23" s="237"/>
      <c r="C23" s="95"/>
      <c r="D23" s="51"/>
      <c r="E23" s="168"/>
      <c r="F23" s="169"/>
      <c r="G23" s="52"/>
      <c r="H23" s="106" t="str">
        <f t="shared" ca="1" si="18"/>
        <v/>
      </c>
      <c r="I23" s="94"/>
      <c r="J23" s="25" t="s">
        <v>106</v>
      </c>
      <c r="K23" s="76" t="str">
        <f t="shared" ca="1" si="19"/>
        <v/>
      </c>
      <c r="L23" s="18"/>
      <c r="M23" s="71" t="s">
        <v>106</v>
      </c>
      <c r="N23" s="228" t="s">
        <v>106</v>
      </c>
      <c r="O23" s="229"/>
      <c r="P23" s="230"/>
      <c r="Q23" s="66"/>
      <c r="R23" s="8"/>
    </row>
    <row r="24" spans="1:18" s="2" customFormat="1" ht="40.049999999999997" customHeight="1" x14ac:dyDescent="0.5">
      <c r="A24" s="60"/>
      <c r="B24" s="233" t="s">
        <v>112</v>
      </c>
      <c r="C24" s="156"/>
      <c r="D24" s="157"/>
      <c r="E24" s="157"/>
      <c r="F24" s="157"/>
      <c r="G24" s="157"/>
      <c r="H24" s="158"/>
      <c r="I24" s="96" t="s">
        <v>114</v>
      </c>
      <c r="J24" s="162"/>
      <c r="K24" s="163"/>
      <c r="L24" s="163"/>
      <c r="M24" s="163"/>
      <c r="N24" s="163"/>
      <c r="O24" s="163"/>
      <c r="P24" s="163"/>
      <c r="Q24" s="164"/>
    </row>
    <row r="25" spans="1:18" s="2" customFormat="1" ht="40.15" customHeight="1" x14ac:dyDescent="0.5">
      <c r="A25" s="63"/>
      <c r="B25" s="234"/>
      <c r="C25" s="159"/>
      <c r="D25" s="160"/>
      <c r="E25" s="160"/>
      <c r="F25" s="160"/>
      <c r="G25" s="160"/>
      <c r="H25" s="161"/>
      <c r="I25" s="97" t="s">
        <v>113</v>
      </c>
      <c r="J25" s="165"/>
      <c r="K25" s="166"/>
      <c r="L25" s="166"/>
      <c r="M25" s="166"/>
      <c r="N25" s="166"/>
      <c r="O25" s="166"/>
      <c r="P25" s="166"/>
      <c r="Q25" s="167"/>
    </row>
    <row r="26" spans="1:18" s="8" customFormat="1" ht="20" hidden="1" customHeight="1" x14ac:dyDescent="0.5">
      <c r="A26" s="20"/>
      <c r="B26" s="28"/>
      <c r="C26" s="22"/>
      <c r="D26" s="16"/>
      <c r="E26" s="22"/>
      <c r="F26" s="22"/>
      <c r="G26" s="22"/>
      <c r="H26" s="22"/>
      <c r="I26" s="22"/>
      <c r="J26" s="22"/>
      <c r="K26" s="22"/>
      <c r="L26" s="29"/>
      <c r="M26" s="7"/>
      <c r="N26" s="14"/>
      <c r="O26" s="40"/>
      <c r="P26" s="9"/>
      <c r="Q26" s="7"/>
    </row>
    <row r="27" spans="1:18" s="8" customFormat="1" ht="20" hidden="1" customHeight="1" x14ac:dyDescent="0.5">
      <c r="A27" s="20"/>
      <c r="B27" s="28"/>
      <c r="C27" s="22"/>
      <c r="D27" s="16"/>
      <c r="E27" s="22"/>
      <c r="F27" s="22"/>
      <c r="G27" s="22"/>
      <c r="H27" s="22"/>
      <c r="I27" s="22"/>
      <c r="J27" s="22"/>
      <c r="K27" s="22"/>
      <c r="L27" s="29"/>
      <c r="M27" s="7"/>
      <c r="N27" s="14"/>
      <c r="O27" s="40"/>
      <c r="P27" s="9"/>
      <c r="Q27" s="7"/>
    </row>
    <row r="28" spans="1:18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ht="22.9" hidden="1" customHeight="1" x14ac:dyDescent="0.5"/>
    <row r="91" spans="1:17" ht="22.9" hidden="1" customHeight="1" x14ac:dyDescent="0.5"/>
    <row r="92" spans="1:17" ht="22.9" hidden="1" customHeight="1" x14ac:dyDescent="0.5"/>
    <row r="93" spans="1:17" ht="22.9" hidden="1" customHeight="1" x14ac:dyDescent="0.5"/>
    <row r="94" spans="1:17" ht="22.9" hidden="1" customHeight="1" x14ac:dyDescent="0.5"/>
    <row r="95" spans="1:17" ht="22.9" hidden="1" customHeight="1" x14ac:dyDescent="0.5"/>
  </sheetData>
  <dataConsolidate/>
  <mergeCells count="57">
    <mergeCell ref="B24:B25"/>
    <mergeCell ref="C24:H25"/>
    <mergeCell ref="J24:Q24"/>
    <mergeCell ref="J25:Q25"/>
    <mergeCell ref="B20:C20"/>
    <mergeCell ref="E20:F20"/>
    <mergeCell ref="L20:P20"/>
    <mergeCell ref="B21:B23"/>
    <mergeCell ref="E21:F21"/>
    <mergeCell ref="N21:P21"/>
    <mergeCell ref="E22:F22"/>
    <mergeCell ref="N22:P22"/>
    <mergeCell ref="E23:F23"/>
    <mergeCell ref="N23:P23"/>
    <mergeCell ref="B18:C18"/>
    <mergeCell ref="E18:F18"/>
    <mergeCell ref="H18:I18"/>
    <mergeCell ref="N18:P18"/>
    <mergeCell ref="B19:C19"/>
    <mergeCell ref="E19:F19"/>
    <mergeCell ref="H19:I19"/>
    <mergeCell ref="N19:P19"/>
    <mergeCell ref="O12:P12"/>
    <mergeCell ref="O13:P13"/>
    <mergeCell ref="O16:P16"/>
    <mergeCell ref="B17:C17"/>
    <mergeCell ref="E17:F17"/>
    <mergeCell ref="H17:I17"/>
    <mergeCell ref="L17:P17"/>
    <mergeCell ref="O14:P14"/>
    <mergeCell ref="O15:P15"/>
    <mergeCell ref="O7:P7"/>
    <mergeCell ref="O8:P8"/>
    <mergeCell ref="O9:P9"/>
    <mergeCell ref="O10:P10"/>
    <mergeCell ref="O11:P11"/>
    <mergeCell ref="B5:D5"/>
    <mergeCell ref="G5:H5"/>
    <mergeCell ref="I5:K5"/>
    <mergeCell ref="O5:P5"/>
    <mergeCell ref="O6:P6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N3:N4"/>
    <mergeCell ref="O3:P4"/>
  </mergeCells>
  <phoneticPr fontId="1" type="noConversion"/>
  <conditionalFormatting sqref="N27:O27 N7:O16 I7:I16">
    <cfRule type="cellIs" dxfId="877" priority="303" operator="equal">
      <formula>"×"</formula>
    </cfRule>
    <cfRule type="cellIs" dxfId="876" priority="304" operator="equal">
      <formula>"√"</formula>
    </cfRule>
  </conditionalFormatting>
  <conditionalFormatting sqref="L27 L7:L16">
    <cfRule type="cellIs" dxfId="875" priority="301" operator="equal">
      <formula>"未完成"</formula>
    </cfRule>
    <cfRule type="cellIs" dxfId="874" priority="302" operator="equal">
      <formula>"已完成"</formula>
    </cfRule>
  </conditionalFormatting>
  <conditionalFormatting sqref="D18:D19 N18:N19">
    <cfRule type="cellIs" dxfId="873" priority="295" operator="equal">
      <formula>"×"</formula>
    </cfRule>
    <cfRule type="cellIs" dxfId="872" priority="296" operator="equal">
      <formula>"√"</formula>
    </cfRule>
  </conditionalFormatting>
  <conditionalFormatting sqref="L18:L19">
    <cfRule type="cellIs" dxfId="871" priority="293" operator="equal">
      <formula>"未完成"</formula>
    </cfRule>
    <cfRule type="cellIs" dxfId="870" priority="294" operator="equal">
      <formula>"已完成"</formula>
    </cfRule>
  </conditionalFormatting>
  <conditionalFormatting sqref="L17">
    <cfRule type="cellIs" dxfId="869" priority="289" operator="equal">
      <formula>"未完成"</formula>
    </cfRule>
    <cfRule type="cellIs" dxfId="868" priority="290" operator="equal">
      <formula>"已完成"</formula>
    </cfRule>
  </conditionalFormatting>
  <conditionalFormatting sqref="D17">
    <cfRule type="cellIs" dxfId="867" priority="291" operator="equal">
      <formula>"×"</formula>
    </cfRule>
    <cfRule type="cellIs" dxfId="866" priority="292" operator="equal">
      <formula>"√"</formula>
    </cfRule>
  </conditionalFormatting>
  <conditionalFormatting sqref="N5:O5">
    <cfRule type="cellIs" dxfId="865" priority="283" operator="equal">
      <formula>"×"</formula>
    </cfRule>
    <cfRule type="cellIs" dxfId="864" priority="284" operator="equal">
      <formula>"√"</formula>
    </cfRule>
  </conditionalFormatting>
  <conditionalFormatting sqref="L5">
    <cfRule type="cellIs" dxfId="863" priority="281" operator="equal">
      <formula>"未完成"</formula>
    </cfRule>
    <cfRule type="cellIs" dxfId="862" priority="282" operator="equal">
      <formula>"已完成"</formula>
    </cfRule>
  </conditionalFormatting>
  <conditionalFormatting sqref="N6">
    <cfRule type="cellIs" dxfId="861" priority="279" operator="equal">
      <formula>"×"</formula>
    </cfRule>
    <cfRule type="cellIs" dxfId="860" priority="280" operator="equal">
      <formula>"√"</formula>
    </cfRule>
  </conditionalFormatting>
  <conditionalFormatting sqref="L6">
    <cfRule type="cellIs" dxfId="859" priority="277" operator="equal">
      <formula>"未完成"</formula>
    </cfRule>
    <cfRule type="cellIs" dxfId="858" priority="278" operator="equal">
      <formula>"已完成"</formula>
    </cfRule>
  </conditionalFormatting>
  <conditionalFormatting sqref="I6">
    <cfRule type="cellIs" dxfId="857" priority="275" operator="equal">
      <formula>"×"</formula>
    </cfRule>
    <cfRule type="cellIs" dxfId="856" priority="276" operator="equal">
      <formula>"√"</formula>
    </cfRule>
  </conditionalFormatting>
  <conditionalFormatting sqref="O6">
    <cfRule type="cellIs" dxfId="855" priority="273" operator="equal">
      <formula>"×"</formula>
    </cfRule>
    <cfRule type="cellIs" dxfId="854" priority="274" operator="equal">
      <formula>"√"</formula>
    </cfRule>
  </conditionalFormatting>
  <conditionalFormatting sqref="N28:O28">
    <cfRule type="cellIs" dxfId="853" priority="263" operator="equal">
      <formula>"×"</formula>
    </cfRule>
    <cfRule type="cellIs" dxfId="852" priority="264" operator="equal">
      <formula>"√"</formula>
    </cfRule>
  </conditionalFormatting>
  <conditionalFormatting sqref="L28">
    <cfRule type="cellIs" dxfId="851" priority="261" operator="equal">
      <formula>"未完成"</formula>
    </cfRule>
    <cfRule type="cellIs" dxfId="850" priority="262" operator="equal">
      <formula>"已完成"</formula>
    </cfRule>
  </conditionalFormatting>
  <conditionalFormatting sqref="N29:O29">
    <cfRule type="cellIs" dxfId="849" priority="259" operator="equal">
      <formula>"×"</formula>
    </cfRule>
    <cfRule type="cellIs" dxfId="848" priority="260" operator="equal">
      <formula>"√"</formula>
    </cfRule>
  </conditionalFormatting>
  <conditionalFormatting sqref="L29">
    <cfRule type="cellIs" dxfId="847" priority="257" operator="equal">
      <formula>"未完成"</formula>
    </cfRule>
    <cfRule type="cellIs" dxfId="846" priority="258" operator="equal">
      <formula>"已完成"</formula>
    </cfRule>
  </conditionalFormatting>
  <conditionalFormatting sqref="N30:O30">
    <cfRule type="cellIs" dxfId="845" priority="255" operator="equal">
      <formula>"×"</formula>
    </cfRule>
    <cfRule type="cellIs" dxfId="844" priority="256" operator="equal">
      <formula>"√"</formula>
    </cfRule>
  </conditionalFormatting>
  <conditionalFormatting sqref="L30">
    <cfRule type="cellIs" dxfId="843" priority="253" operator="equal">
      <formula>"未完成"</formula>
    </cfRule>
    <cfRule type="cellIs" dxfId="842" priority="254" operator="equal">
      <formula>"已完成"</formula>
    </cfRule>
  </conditionalFormatting>
  <conditionalFormatting sqref="N31:O31">
    <cfRule type="cellIs" dxfId="841" priority="251" operator="equal">
      <formula>"×"</formula>
    </cfRule>
    <cfRule type="cellIs" dxfId="840" priority="252" operator="equal">
      <formula>"√"</formula>
    </cfRule>
  </conditionalFormatting>
  <conditionalFormatting sqref="L31">
    <cfRule type="cellIs" dxfId="839" priority="249" operator="equal">
      <formula>"未完成"</formula>
    </cfRule>
    <cfRule type="cellIs" dxfId="838" priority="250" operator="equal">
      <formula>"已完成"</formula>
    </cfRule>
  </conditionalFormatting>
  <conditionalFormatting sqref="N32:O32">
    <cfRule type="cellIs" dxfId="837" priority="247" operator="equal">
      <formula>"×"</formula>
    </cfRule>
    <cfRule type="cellIs" dxfId="836" priority="248" operator="equal">
      <formula>"√"</formula>
    </cfRule>
  </conditionalFormatting>
  <conditionalFormatting sqref="L32">
    <cfRule type="cellIs" dxfId="835" priority="245" operator="equal">
      <formula>"未完成"</formula>
    </cfRule>
    <cfRule type="cellIs" dxfId="834" priority="246" operator="equal">
      <formula>"已完成"</formula>
    </cfRule>
  </conditionalFormatting>
  <conditionalFormatting sqref="N33:O33">
    <cfRule type="cellIs" dxfId="833" priority="243" operator="equal">
      <formula>"×"</formula>
    </cfRule>
    <cfRule type="cellIs" dxfId="832" priority="244" operator="equal">
      <formula>"√"</formula>
    </cfRule>
  </conditionalFormatting>
  <conditionalFormatting sqref="L33">
    <cfRule type="cellIs" dxfId="831" priority="241" operator="equal">
      <formula>"未完成"</formula>
    </cfRule>
    <cfRule type="cellIs" dxfId="830" priority="242" operator="equal">
      <formula>"已完成"</formula>
    </cfRule>
  </conditionalFormatting>
  <conditionalFormatting sqref="N34:O34">
    <cfRule type="cellIs" dxfId="829" priority="239" operator="equal">
      <formula>"×"</formula>
    </cfRule>
    <cfRule type="cellIs" dxfId="828" priority="240" operator="equal">
      <formula>"√"</formula>
    </cfRule>
  </conditionalFormatting>
  <conditionalFormatting sqref="L34">
    <cfRule type="cellIs" dxfId="827" priority="237" operator="equal">
      <formula>"未完成"</formula>
    </cfRule>
    <cfRule type="cellIs" dxfId="826" priority="238" operator="equal">
      <formula>"已完成"</formula>
    </cfRule>
  </conditionalFormatting>
  <conditionalFormatting sqref="N35:O35">
    <cfRule type="cellIs" dxfId="825" priority="235" operator="equal">
      <formula>"×"</formula>
    </cfRule>
    <cfRule type="cellIs" dxfId="824" priority="236" operator="equal">
      <formula>"√"</formula>
    </cfRule>
  </conditionalFormatting>
  <conditionalFormatting sqref="L35">
    <cfRule type="cellIs" dxfId="823" priority="233" operator="equal">
      <formula>"未完成"</formula>
    </cfRule>
    <cfRule type="cellIs" dxfId="822" priority="234" operator="equal">
      <formula>"已完成"</formula>
    </cfRule>
  </conditionalFormatting>
  <conditionalFormatting sqref="N36:O36">
    <cfRule type="cellIs" dxfId="821" priority="231" operator="equal">
      <formula>"×"</formula>
    </cfRule>
    <cfRule type="cellIs" dxfId="820" priority="232" operator="equal">
      <formula>"√"</formula>
    </cfRule>
  </conditionalFormatting>
  <conditionalFormatting sqref="L36">
    <cfRule type="cellIs" dxfId="819" priority="229" operator="equal">
      <formula>"未完成"</formula>
    </cfRule>
    <cfRule type="cellIs" dxfId="818" priority="230" operator="equal">
      <formula>"已完成"</formula>
    </cfRule>
  </conditionalFormatting>
  <conditionalFormatting sqref="N37:O37">
    <cfRule type="cellIs" dxfId="817" priority="227" operator="equal">
      <formula>"×"</formula>
    </cfRule>
    <cfRule type="cellIs" dxfId="816" priority="228" operator="equal">
      <formula>"√"</formula>
    </cfRule>
  </conditionalFormatting>
  <conditionalFormatting sqref="L37">
    <cfRule type="cellIs" dxfId="815" priority="225" operator="equal">
      <formula>"未完成"</formula>
    </cfRule>
    <cfRule type="cellIs" dxfId="814" priority="226" operator="equal">
      <formula>"已完成"</formula>
    </cfRule>
  </conditionalFormatting>
  <conditionalFormatting sqref="N38:O38">
    <cfRule type="cellIs" dxfId="813" priority="223" operator="equal">
      <formula>"×"</formula>
    </cfRule>
    <cfRule type="cellIs" dxfId="812" priority="224" operator="equal">
      <formula>"√"</formula>
    </cfRule>
  </conditionalFormatting>
  <conditionalFormatting sqref="L38">
    <cfRule type="cellIs" dxfId="811" priority="221" operator="equal">
      <formula>"未完成"</formula>
    </cfRule>
    <cfRule type="cellIs" dxfId="810" priority="222" operator="equal">
      <formula>"已完成"</formula>
    </cfRule>
  </conditionalFormatting>
  <conditionalFormatting sqref="N39:O39">
    <cfRule type="cellIs" dxfId="809" priority="219" operator="equal">
      <formula>"×"</formula>
    </cfRule>
    <cfRule type="cellIs" dxfId="808" priority="220" operator="equal">
      <formula>"√"</formula>
    </cfRule>
  </conditionalFormatting>
  <conditionalFormatting sqref="L39">
    <cfRule type="cellIs" dxfId="807" priority="217" operator="equal">
      <formula>"未完成"</formula>
    </cfRule>
    <cfRule type="cellIs" dxfId="806" priority="218" operator="equal">
      <formula>"已完成"</formula>
    </cfRule>
  </conditionalFormatting>
  <conditionalFormatting sqref="N40:O40">
    <cfRule type="cellIs" dxfId="805" priority="215" operator="equal">
      <formula>"×"</formula>
    </cfRule>
    <cfRule type="cellIs" dxfId="804" priority="216" operator="equal">
      <formula>"√"</formula>
    </cfRule>
  </conditionalFormatting>
  <conditionalFormatting sqref="L40">
    <cfRule type="cellIs" dxfId="803" priority="213" operator="equal">
      <formula>"未完成"</formula>
    </cfRule>
    <cfRule type="cellIs" dxfId="802" priority="214" operator="equal">
      <formula>"已完成"</formula>
    </cfRule>
  </conditionalFormatting>
  <conditionalFormatting sqref="N41:O41">
    <cfRule type="cellIs" dxfId="801" priority="211" operator="equal">
      <formula>"×"</formula>
    </cfRule>
    <cfRule type="cellIs" dxfId="800" priority="212" operator="equal">
      <formula>"√"</formula>
    </cfRule>
  </conditionalFormatting>
  <conditionalFormatting sqref="L41">
    <cfRule type="cellIs" dxfId="799" priority="209" operator="equal">
      <formula>"未完成"</formula>
    </cfRule>
    <cfRule type="cellIs" dxfId="798" priority="210" operator="equal">
      <formula>"已完成"</formula>
    </cfRule>
  </conditionalFormatting>
  <conditionalFormatting sqref="N42:O42">
    <cfRule type="cellIs" dxfId="797" priority="207" operator="equal">
      <formula>"×"</formula>
    </cfRule>
    <cfRule type="cellIs" dxfId="796" priority="208" operator="equal">
      <formula>"√"</formula>
    </cfRule>
  </conditionalFormatting>
  <conditionalFormatting sqref="L42">
    <cfRule type="cellIs" dxfId="795" priority="205" operator="equal">
      <formula>"未完成"</formula>
    </cfRule>
    <cfRule type="cellIs" dxfId="794" priority="206" operator="equal">
      <formula>"已完成"</formula>
    </cfRule>
  </conditionalFormatting>
  <conditionalFormatting sqref="N43:O43">
    <cfRule type="cellIs" dxfId="793" priority="203" operator="equal">
      <formula>"×"</formula>
    </cfRule>
    <cfRule type="cellIs" dxfId="792" priority="204" operator="equal">
      <formula>"√"</formula>
    </cfRule>
  </conditionalFormatting>
  <conditionalFormatting sqref="L43">
    <cfRule type="cellIs" dxfId="791" priority="201" operator="equal">
      <formula>"未完成"</formula>
    </cfRule>
    <cfRule type="cellIs" dxfId="790" priority="202" operator="equal">
      <formula>"已完成"</formula>
    </cfRule>
  </conditionalFormatting>
  <conditionalFormatting sqref="N44:O44">
    <cfRule type="cellIs" dxfId="789" priority="199" operator="equal">
      <formula>"×"</formula>
    </cfRule>
    <cfRule type="cellIs" dxfId="788" priority="200" operator="equal">
      <formula>"√"</formula>
    </cfRule>
  </conditionalFormatting>
  <conditionalFormatting sqref="L44">
    <cfRule type="cellIs" dxfId="787" priority="197" operator="equal">
      <formula>"未完成"</formula>
    </cfRule>
    <cfRule type="cellIs" dxfId="786" priority="198" operator="equal">
      <formula>"已完成"</formula>
    </cfRule>
  </conditionalFormatting>
  <conditionalFormatting sqref="N45:O45">
    <cfRule type="cellIs" dxfId="785" priority="195" operator="equal">
      <formula>"×"</formula>
    </cfRule>
    <cfRule type="cellIs" dxfId="784" priority="196" operator="equal">
      <formula>"√"</formula>
    </cfRule>
  </conditionalFormatting>
  <conditionalFormatting sqref="L45">
    <cfRule type="cellIs" dxfId="783" priority="193" operator="equal">
      <formula>"未完成"</formula>
    </cfRule>
    <cfRule type="cellIs" dxfId="782" priority="194" operator="equal">
      <formula>"已完成"</formula>
    </cfRule>
  </conditionalFormatting>
  <conditionalFormatting sqref="N46:O46">
    <cfRule type="cellIs" dxfId="781" priority="191" operator="equal">
      <formula>"×"</formula>
    </cfRule>
    <cfRule type="cellIs" dxfId="780" priority="192" operator="equal">
      <formula>"√"</formula>
    </cfRule>
  </conditionalFormatting>
  <conditionalFormatting sqref="L46">
    <cfRule type="cellIs" dxfId="779" priority="189" operator="equal">
      <formula>"未完成"</formula>
    </cfRule>
    <cfRule type="cellIs" dxfId="778" priority="190" operator="equal">
      <formula>"已完成"</formula>
    </cfRule>
  </conditionalFormatting>
  <conditionalFormatting sqref="N47:O47">
    <cfRule type="cellIs" dxfId="777" priority="187" operator="equal">
      <formula>"×"</formula>
    </cfRule>
    <cfRule type="cellIs" dxfId="776" priority="188" operator="equal">
      <formula>"√"</formula>
    </cfRule>
  </conditionalFormatting>
  <conditionalFormatting sqref="L47">
    <cfRule type="cellIs" dxfId="775" priority="185" operator="equal">
      <formula>"未完成"</formula>
    </cfRule>
    <cfRule type="cellIs" dxfId="774" priority="186" operator="equal">
      <formula>"已完成"</formula>
    </cfRule>
  </conditionalFormatting>
  <conditionalFormatting sqref="N48:O48">
    <cfRule type="cellIs" dxfId="773" priority="183" operator="equal">
      <formula>"×"</formula>
    </cfRule>
    <cfRule type="cellIs" dxfId="772" priority="184" operator="equal">
      <formula>"√"</formula>
    </cfRule>
  </conditionalFormatting>
  <conditionalFormatting sqref="L48">
    <cfRule type="cellIs" dxfId="771" priority="181" operator="equal">
      <formula>"未完成"</formula>
    </cfRule>
    <cfRule type="cellIs" dxfId="770" priority="182" operator="equal">
      <formula>"已完成"</formula>
    </cfRule>
  </conditionalFormatting>
  <conditionalFormatting sqref="N49:O49">
    <cfRule type="cellIs" dxfId="769" priority="179" operator="equal">
      <formula>"×"</formula>
    </cfRule>
    <cfRule type="cellIs" dxfId="768" priority="180" operator="equal">
      <formula>"√"</formula>
    </cfRule>
  </conditionalFormatting>
  <conditionalFormatting sqref="L49">
    <cfRule type="cellIs" dxfId="767" priority="177" operator="equal">
      <formula>"未完成"</formula>
    </cfRule>
    <cfRule type="cellIs" dxfId="766" priority="178" operator="equal">
      <formula>"已完成"</formula>
    </cfRule>
  </conditionalFormatting>
  <conditionalFormatting sqref="N50:O50">
    <cfRule type="cellIs" dxfId="765" priority="175" operator="equal">
      <formula>"×"</formula>
    </cfRule>
    <cfRule type="cellIs" dxfId="764" priority="176" operator="equal">
      <formula>"√"</formula>
    </cfRule>
  </conditionalFormatting>
  <conditionalFormatting sqref="L50">
    <cfRule type="cellIs" dxfId="763" priority="173" operator="equal">
      <formula>"未完成"</formula>
    </cfRule>
    <cfRule type="cellIs" dxfId="762" priority="174" operator="equal">
      <formula>"已完成"</formula>
    </cfRule>
  </conditionalFormatting>
  <conditionalFormatting sqref="N51:O51">
    <cfRule type="cellIs" dxfId="761" priority="171" operator="equal">
      <formula>"×"</formula>
    </cfRule>
    <cfRule type="cellIs" dxfId="760" priority="172" operator="equal">
      <formula>"√"</formula>
    </cfRule>
  </conditionalFormatting>
  <conditionalFormatting sqref="L51">
    <cfRule type="cellIs" dxfId="759" priority="169" operator="equal">
      <formula>"未完成"</formula>
    </cfRule>
    <cfRule type="cellIs" dxfId="758" priority="170" operator="equal">
      <formula>"已完成"</formula>
    </cfRule>
  </conditionalFormatting>
  <conditionalFormatting sqref="N52:O52">
    <cfRule type="cellIs" dxfId="757" priority="167" operator="equal">
      <formula>"×"</formula>
    </cfRule>
    <cfRule type="cellIs" dxfId="756" priority="168" operator="equal">
      <formula>"√"</formula>
    </cfRule>
  </conditionalFormatting>
  <conditionalFormatting sqref="L52">
    <cfRule type="cellIs" dxfId="755" priority="165" operator="equal">
      <formula>"未完成"</formula>
    </cfRule>
    <cfRule type="cellIs" dxfId="754" priority="166" operator="equal">
      <formula>"已完成"</formula>
    </cfRule>
  </conditionalFormatting>
  <conditionalFormatting sqref="N53:O53">
    <cfRule type="cellIs" dxfId="753" priority="163" operator="equal">
      <formula>"×"</formula>
    </cfRule>
    <cfRule type="cellIs" dxfId="752" priority="164" operator="equal">
      <formula>"√"</formula>
    </cfRule>
  </conditionalFormatting>
  <conditionalFormatting sqref="L53">
    <cfRule type="cellIs" dxfId="751" priority="161" operator="equal">
      <formula>"未完成"</formula>
    </cfRule>
    <cfRule type="cellIs" dxfId="750" priority="162" operator="equal">
      <formula>"已完成"</formula>
    </cfRule>
  </conditionalFormatting>
  <conditionalFormatting sqref="N54:O54">
    <cfRule type="cellIs" dxfId="749" priority="159" operator="equal">
      <formula>"×"</formula>
    </cfRule>
    <cfRule type="cellIs" dxfId="748" priority="160" operator="equal">
      <formula>"√"</formula>
    </cfRule>
  </conditionalFormatting>
  <conditionalFormatting sqref="L54">
    <cfRule type="cellIs" dxfId="747" priority="157" operator="equal">
      <formula>"未完成"</formula>
    </cfRule>
    <cfRule type="cellIs" dxfId="746" priority="158" operator="equal">
      <formula>"已完成"</formula>
    </cfRule>
  </conditionalFormatting>
  <conditionalFormatting sqref="N55:O55">
    <cfRule type="cellIs" dxfId="745" priority="155" operator="equal">
      <formula>"×"</formula>
    </cfRule>
    <cfRule type="cellIs" dxfId="744" priority="156" operator="equal">
      <formula>"√"</formula>
    </cfRule>
  </conditionalFormatting>
  <conditionalFormatting sqref="L55">
    <cfRule type="cellIs" dxfId="743" priority="153" operator="equal">
      <formula>"未完成"</formula>
    </cfRule>
    <cfRule type="cellIs" dxfId="742" priority="154" operator="equal">
      <formula>"已完成"</formula>
    </cfRule>
  </conditionalFormatting>
  <conditionalFormatting sqref="N56:O56">
    <cfRule type="cellIs" dxfId="741" priority="151" operator="equal">
      <formula>"×"</formula>
    </cfRule>
    <cfRule type="cellIs" dxfId="740" priority="152" operator="equal">
      <formula>"√"</formula>
    </cfRule>
  </conditionalFormatting>
  <conditionalFormatting sqref="L56">
    <cfRule type="cellIs" dxfId="739" priority="149" operator="equal">
      <formula>"未完成"</formula>
    </cfRule>
    <cfRule type="cellIs" dxfId="738" priority="150" operator="equal">
      <formula>"已完成"</formula>
    </cfRule>
  </conditionalFormatting>
  <conditionalFormatting sqref="N57:O57">
    <cfRule type="cellIs" dxfId="737" priority="147" operator="equal">
      <formula>"×"</formula>
    </cfRule>
    <cfRule type="cellIs" dxfId="736" priority="148" operator="equal">
      <formula>"√"</formula>
    </cfRule>
  </conditionalFormatting>
  <conditionalFormatting sqref="L57">
    <cfRule type="cellIs" dxfId="735" priority="145" operator="equal">
      <formula>"未完成"</formula>
    </cfRule>
    <cfRule type="cellIs" dxfId="734" priority="146" operator="equal">
      <formula>"已完成"</formula>
    </cfRule>
  </conditionalFormatting>
  <conditionalFormatting sqref="N58:O58">
    <cfRule type="cellIs" dxfId="733" priority="143" operator="equal">
      <formula>"×"</formula>
    </cfRule>
    <cfRule type="cellIs" dxfId="732" priority="144" operator="equal">
      <formula>"√"</formula>
    </cfRule>
  </conditionalFormatting>
  <conditionalFormatting sqref="L58">
    <cfRule type="cellIs" dxfId="731" priority="141" operator="equal">
      <formula>"未完成"</formula>
    </cfRule>
    <cfRule type="cellIs" dxfId="730" priority="142" operator="equal">
      <formula>"已完成"</formula>
    </cfRule>
  </conditionalFormatting>
  <conditionalFormatting sqref="N59:O59">
    <cfRule type="cellIs" dxfId="729" priority="139" operator="equal">
      <formula>"×"</formula>
    </cfRule>
    <cfRule type="cellIs" dxfId="728" priority="140" operator="equal">
      <formula>"√"</formula>
    </cfRule>
  </conditionalFormatting>
  <conditionalFormatting sqref="L59">
    <cfRule type="cellIs" dxfId="727" priority="137" operator="equal">
      <formula>"未完成"</formula>
    </cfRule>
    <cfRule type="cellIs" dxfId="726" priority="138" operator="equal">
      <formula>"已完成"</formula>
    </cfRule>
  </conditionalFormatting>
  <conditionalFormatting sqref="N60:O60">
    <cfRule type="cellIs" dxfId="725" priority="135" operator="equal">
      <formula>"×"</formula>
    </cfRule>
    <cfRule type="cellIs" dxfId="724" priority="136" operator="equal">
      <formula>"√"</formula>
    </cfRule>
  </conditionalFormatting>
  <conditionalFormatting sqref="L60">
    <cfRule type="cellIs" dxfId="723" priority="133" operator="equal">
      <formula>"未完成"</formula>
    </cfRule>
    <cfRule type="cellIs" dxfId="722" priority="134" operator="equal">
      <formula>"已完成"</formula>
    </cfRule>
  </conditionalFormatting>
  <conditionalFormatting sqref="N61:O61">
    <cfRule type="cellIs" dxfId="721" priority="131" operator="equal">
      <formula>"×"</formula>
    </cfRule>
    <cfRule type="cellIs" dxfId="720" priority="132" operator="equal">
      <formula>"√"</formula>
    </cfRule>
  </conditionalFormatting>
  <conditionalFormatting sqref="L61">
    <cfRule type="cellIs" dxfId="719" priority="129" operator="equal">
      <formula>"未完成"</formula>
    </cfRule>
    <cfRule type="cellIs" dxfId="718" priority="130" operator="equal">
      <formula>"已完成"</formula>
    </cfRule>
  </conditionalFormatting>
  <conditionalFormatting sqref="N62:O62">
    <cfRule type="cellIs" dxfId="717" priority="127" operator="equal">
      <formula>"×"</formula>
    </cfRule>
    <cfRule type="cellIs" dxfId="716" priority="128" operator="equal">
      <formula>"√"</formula>
    </cfRule>
  </conditionalFormatting>
  <conditionalFormatting sqref="L62">
    <cfRule type="cellIs" dxfId="715" priority="125" operator="equal">
      <formula>"未完成"</formula>
    </cfRule>
    <cfRule type="cellIs" dxfId="714" priority="126" operator="equal">
      <formula>"已完成"</formula>
    </cfRule>
  </conditionalFormatting>
  <conditionalFormatting sqref="N63:O63">
    <cfRule type="cellIs" dxfId="713" priority="123" operator="equal">
      <formula>"×"</formula>
    </cfRule>
    <cfRule type="cellIs" dxfId="712" priority="124" operator="equal">
      <formula>"√"</formula>
    </cfRule>
  </conditionalFormatting>
  <conditionalFormatting sqref="L63">
    <cfRule type="cellIs" dxfId="711" priority="121" operator="equal">
      <formula>"未完成"</formula>
    </cfRule>
    <cfRule type="cellIs" dxfId="710" priority="122" operator="equal">
      <formula>"已完成"</formula>
    </cfRule>
  </conditionalFormatting>
  <conditionalFormatting sqref="N64:O64">
    <cfRule type="cellIs" dxfId="709" priority="119" operator="equal">
      <formula>"×"</formula>
    </cfRule>
    <cfRule type="cellIs" dxfId="708" priority="120" operator="equal">
      <formula>"√"</formula>
    </cfRule>
  </conditionalFormatting>
  <conditionalFormatting sqref="L64">
    <cfRule type="cellIs" dxfId="707" priority="117" operator="equal">
      <formula>"未完成"</formula>
    </cfRule>
    <cfRule type="cellIs" dxfId="706" priority="118" operator="equal">
      <formula>"已完成"</formula>
    </cfRule>
  </conditionalFormatting>
  <conditionalFormatting sqref="N65:O65">
    <cfRule type="cellIs" dxfId="705" priority="115" operator="equal">
      <formula>"×"</formula>
    </cfRule>
    <cfRule type="cellIs" dxfId="704" priority="116" operator="equal">
      <formula>"√"</formula>
    </cfRule>
  </conditionalFormatting>
  <conditionalFormatting sqref="L65">
    <cfRule type="cellIs" dxfId="703" priority="113" operator="equal">
      <formula>"未完成"</formula>
    </cfRule>
    <cfRule type="cellIs" dxfId="702" priority="114" operator="equal">
      <formula>"已完成"</formula>
    </cfRule>
  </conditionalFormatting>
  <conditionalFormatting sqref="N66:O66">
    <cfRule type="cellIs" dxfId="701" priority="111" operator="equal">
      <formula>"×"</formula>
    </cfRule>
    <cfRule type="cellIs" dxfId="700" priority="112" operator="equal">
      <formula>"√"</formula>
    </cfRule>
  </conditionalFormatting>
  <conditionalFormatting sqref="L66">
    <cfRule type="cellIs" dxfId="699" priority="109" operator="equal">
      <formula>"未完成"</formula>
    </cfRule>
    <cfRule type="cellIs" dxfId="698" priority="110" operator="equal">
      <formula>"已完成"</formula>
    </cfRule>
  </conditionalFormatting>
  <conditionalFormatting sqref="N67:O67">
    <cfRule type="cellIs" dxfId="697" priority="107" operator="equal">
      <formula>"×"</formula>
    </cfRule>
    <cfRule type="cellIs" dxfId="696" priority="108" operator="equal">
      <formula>"√"</formula>
    </cfRule>
  </conditionalFormatting>
  <conditionalFormatting sqref="L67">
    <cfRule type="cellIs" dxfId="695" priority="105" operator="equal">
      <formula>"未完成"</formula>
    </cfRule>
    <cfRule type="cellIs" dxfId="694" priority="106" operator="equal">
      <formula>"已完成"</formula>
    </cfRule>
  </conditionalFormatting>
  <conditionalFormatting sqref="N68:O68">
    <cfRule type="cellIs" dxfId="693" priority="103" operator="equal">
      <formula>"×"</formula>
    </cfRule>
    <cfRule type="cellIs" dxfId="692" priority="104" operator="equal">
      <formula>"√"</formula>
    </cfRule>
  </conditionalFormatting>
  <conditionalFormatting sqref="L68">
    <cfRule type="cellIs" dxfId="691" priority="101" operator="equal">
      <formula>"未完成"</formula>
    </cfRule>
    <cfRule type="cellIs" dxfId="690" priority="102" operator="equal">
      <formula>"已完成"</formula>
    </cfRule>
  </conditionalFormatting>
  <conditionalFormatting sqref="N69:O69">
    <cfRule type="cellIs" dxfId="689" priority="99" operator="equal">
      <formula>"×"</formula>
    </cfRule>
    <cfRule type="cellIs" dxfId="688" priority="100" operator="equal">
      <formula>"√"</formula>
    </cfRule>
  </conditionalFormatting>
  <conditionalFormatting sqref="L69">
    <cfRule type="cellIs" dxfId="687" priority="97" operator="equal">
      <formula>"未完成"</formula>
    </cfRule>
    <cfRule type="cellIs" dxfId="686" priority="98" operator="equal">
      <formula>"已完成"</formula>
    </cfRule>
  </conditionalFormatting>
  <conditionalFormatting sqref="N70:O70">
    <cfRule type="cellIs" dxfId="685" priority="95" operator="equal">
      <formula>"×"</formula>
    </cfRule>
    <cfRule type="cellIs" dxfId="684" priority="96" operator="equal">
      <formula>"√"</formula>
    </cfRule>
  </conditionalFormatting>
  <conditionalFormatting sqref="L70">
    <cfRule type="cellIs" dxfId="683" priority="93" operator="equal">
      <formula>"未完成"</formula>
    </cfRule>
    <cfRule type="cellIs" dxfId="682" priority="94" operator="equal">
      <formula>"已完成"</formula>
    </cfRule>
  </conditionalFormatting>
  <conditionalFormatting sqref="N71:O71">
    <cfRule type="cellIs" dxfId="681" priority="91" operator="equal">
      <formula>"×"</formula>
    </cfRule>
    <cfRule type="cellIs" dxfId="680" priority="92" operator="equal">
      <formula>"√"</formula>
    </cfRule>
  </conditionalFormatting>
  <conditionalFormatting sqref="L71">
    <cfRule type="cellIs" dxfId="679" priority="89" operator="equal">
      <formula>"未完成"</formula>
    </cfRule>
    <cfRule type="cellIs" dxfId="678" priority="90" operator="equal">
      <formula>"已完成"</formula>
    </cfRule>
  </conditionalFormatting>
  <conditionalFormatting sqref="N72:O72">
    <cfRule type="cellIs" dxfId="677" priority="87" operator="equal">
      <formula>"×"</formula>
    </cfRule>
    <cfRule type="cellIs" dxfId="676" priority="88" operator="equal">
      <formula>"√"</formula>
    </cfRule>
  </conditionalFormatting>
  <conditionalFormatting sqref="L72">
    <cfRule type="cellIs" dxfId="675" priority="85" operator="equal">
      <formula>"未完成"</formula>
    </cfRule>
    <cfRule type="cellIs" dxfId="674" priority="86" operator="equal">
      <formula>"已完成"</formula>
    </cfRule>
  </conditionalFormatting>
  <conditionalFormatting sqref="N73:O73">
    <cfRule type="cellIs" dxfId="673" priority="83" operator="equal">
      <formula>"×"</formula>
    </cfRule>
    <cfRule type="cellIs" dxfId="672" priority="84" operator="equal">
      <formula>"√"</formula>
    </cfRule>
  </conditionalFormatting>
  <conditionalFormatting sqref="L73">
    <cfRule type="cellIs" dxfId="671" priority="81" operator="equal">
      <formula>"未完成"</formula>
    </cfRule>
    <cfRule type="cellIs" dxfId="670" priority="82" operator="equal">
      <formula>"已完成"</formula>
    </cfRule>
  </conditionalFormatting>
  <conditionalFormatting sqref="N74:O74">
    <cfRule type="cellIs" dxfId="669" priority="79" operator="equal">
      <formula>"×"</formula>
    </cfRule>
    <cfRule type="cellIs" dxfId="668" priority="80" operator="equal">
      <formula>"√"</formula>
    </cfRule>
  </conditionalFormatting>
  <conditionalFormatting sqref="L74">
    <cfRule type="cellIs" dxfId="667" priority="77" operator="equal">
      <formula>"未完成"</formula>
    </cfRule>
    <cfRule type="cellIs" dxfId="666" priority="78" operator="equal">
      <formula>"已完成"</formula>
    </cfRule>
  </conditionalFormatting>
  <conditionalFormatting sqref="N75:O75">
    <cfRule type="cellIs" dxfId="665" priority="75" operator="equal">
      <formula>"×"</formula>
    </cfRule>
    <cfRule type="cellIs" dxfId="664" priority="76" operator="equal">
      <formula>"√"</formula>
    </cfRule>
  </conditionalFormatting>
  <conditionalFormatting sqref="L75">
    <cfRule type="cellIs" dxfId="663" priority="73" operator="equal">
      <formula>"未完成"</formula>
    </cfRule>
    <cfRule type="cellIs" dxfId="662" priority="74" operator="equal">
      <formula>"已完成"</formula>
    </cfRule>
  </conditionalFormatting>
  <conditionalFormatting sqref="N76:O76">
    <cfRule type="cellIs" dxfId="661" priority="71" operator="equal">
      <formula>"×"</formula>
    </cfRule>
    <cfRule type="cellIs" dxfId="660" priority="72" operator="equal">
      <formula>"√"</formula>
    </cfRule>
  </conditionalFormatting>
  <conditionalFormatting sqref="L76">
    <cfRule type="cellIs" dxfId="659" priority="69" operator="equal">
      <formula>"未完成"</formula>
    </cfRule>
    <cfRule type="cellIs" dxfId="658" priority="70" operator="equal">
      <formula>"已完成"</formula>
    </cfRule>
  </conditionalFormatting>
  <conditionalFormatting sqref="N77:O77">
    <cfRule type="cellIs" dxfId="657" priority="67" operator="equal">
      <formula>"×"</formula>
    </cfRule>
    <cfRule type="cellIs" dxfId="656" priority="68" operator="equal">
      <formula>"√"</formula>
    </cfRule>
  </conditionalFormatting>
  <conditionalFormatting sqref="L77">
    <cfRule type="cellIs" dxfId="655" priority="65" operator="equal">
      <formula>"未完成"</formula>
    </cfRule>
    <cfRule type="cellIs" dxfId="654" priority="66" operator="equal">
      <formula>"已完成"</formula>
    </cfRule>
  </conditionalFormatting>
  <conditionalFormatting sqref="N78:O78">
    <cfRule type="cellIs" dxfId="653" priority="63" operator="equal">
      <formula>"×"</formula>
    </cfRule>
    <cfRule type="cellIs" dxfId="652" priority="64" operator="equal">
      <formula>"√"</formula>
    </cfRule>
  </conditionalFormatting>
  <conditionalFormatting sqref="L78">
    <cfRule type="cellIs" dxfId="651" priority="61" operator="equal">
      <formula>"未完成"</formula>
    </cfRule>
    <cfRule type="cellIs" dxfId="650" priority="62" operator="equal">
      <formula>"已完成"</formula>
    </cfRule>
  </conditionalFormatting>
  <conditionalFormatting sqref="N79:O79">
    <cfRule type="cellIs" dxfId="649" priority="59" operator="equal">
      <formula>"×"</formula>
    </cfRule>
    <cfRule type="cellIs" dxfId="648" priority="60" operator="equal">
      <formula>"√"</formula>
    </cfRule>
  </conditionalFormatting>
  <conditionalFormatting sqref="L79">
    <cfRule type="cellIs" dxfId="647" priority="57" operator="equal">
      <formula>"未完成"</formula>
    </cfRule>
    <cfRule type="cellIs" dxfId="646" priority="58" operator="equal">
      <formula>"已完成"</formula>
    </cfRule>
  </conditionalFormatting>
  <conditionalFormatting sqref="N80:O80">
    <cfRule type="cellIs" dxfId="645" priority="55" operator="equal">
      <formula>"×"</formula>
    </cfRule>
    <cfRule type="cellIs" dxfId="644" priority="56" operator="equal">
      <formula>"√"</formula>
    </cfRule>
  </conditionalFormatting>
  <conditionalFormatting sqref="L80">
    <cfRule type="cellIs" dxfId="643" priority="53" operator="equal">
      <formula>"未完成"</formula>
    </cfRule>
    <cfRule type="cellIs" dxfId="642" priority="54" operator="equal">
      <formula>"已完成"</formula>
    </cfRule>
  </conditionalFormatting>
  <conditionalFormatting sqref="N81:O81">
    <cfRule type="cellIs" dxfId="641" priority="51" operator="equal">
      <formula>"×"</formula>
    </cfRule>
    <cfRule type="cellIs" dxfId="640" priority="52" operator="equal">
      <formula>"√"</formula>
    </cfRule>
  </conditionalFormatting>
  <conditionalFormatting sqref="L81">
    <cfRule type="cellIs" dxfId="639" priority="49" operator="equal">
      <formula>"未完成"</formula>
    </cfRule>
    <cfRule type="cellIs" dxfId="638" priority="50" operator="equal">
      <formula>"已完成"</formula>
    </cfRule>
  </conditionalFormatting>
  <conditionalFormatting sqref="N82:O82">
    <cfRule type="cellIs" dxfId="637" priority="47" operator="equal">
      <formula>"×"</formula>
    </cfRule>
    <cfRule type="cellIs" dxfId="636" priority="48" operator="equal">
      <formula>"√"</formula>
    </cfRule>
  </conditionalFormatting>
  <conditionalFormatting sqref="L82">
    <cfRule type="cellIs" dxfId="635" priority="45" operator="equal">
      <formula>"未完成"</formula>
    </cfRule>
    <cfRule type="cellIs" dxfId="634" priority="46" operator="equal">
      <formula>"已完成"</formula>
    </cfRule>
  </conditionalFormatting>
  <conditionalFormatting sqref="N83:O83">
    <cfRule type="cellIs" dxfId="633" priority="43" operator="equal">
      <formula>"×"</formula>
    </cfRule>
    <cfRule type="cellIs" dxfId="632" priority="44" operator="equal">
      <formula>"√"</formula>
    </cfRule>
  </conditionalFormatting>
  <conditionalFormatting sqref="L83">
    <cfRule type="cellIs" dxfId="631" priority="41" operator="equal">
      <formula>"未完成"</formula>
    </cfRule>
    <cfRule type="cellIs" dxfId="630" priority="42" operator="equal">
      <formula>"已完成"</formula>
    </cfRule>
  </conditionalFormatting>
  <conditionalFormatting sqref="N84:O84">
    <cfRule type="cellIs" dxfId="629" priority="39" operator="equal">
      <formula>"×"</formula>
    </cfRule>
    <cfRule type="cellIs" dxfId="628" priority="40" operator="equal">
      <formula>"√"</formula>
    </cfRule>
  </conditionalFormatting>
  <conditionalFormatting sqref="L84">
    <cfRule type="cellIs" dxfId="627" priority="37" operator="equal">
      <formula>"未完成"</formula>
    </cfRule>
    <cfRule type="cellIs" dxfId="626" priority="38" operator="equal">
      <formula>"已完成"</formula>
    </cfRule>
  </conditionalFormatting>
  <conditionalFormatting sqref="N85:O85">
    <cfRule type="cellIs" dxfId="625" priority="35" operator="equal">
      <formula>"×"</formula>
    </cfRule>
    <cfRule type="cellIs" dxfId="624" priority="36" operator="equal">
      <formula>"√"</formula>
    </cfRule>
  </conditionalFormatting>
  <conditionalFormatting sqref="L85">
    <cfRule type="cellIs" dxfId="623" priority="33" operator="equal">
      <formula>"未完成"</formula>
    </cfRule>
    <cfRule type="cellIs" dxfId="622" priority="34" operator="equal">
      <formula>"已完成"</formula>
    </cfRule>
  </conditionalFormatting>
  <conditionalFormatting sqref="N86:O86">
    <cfRule type="cellIs" dxfId="621" priority="31" operator="equal">
      <formula>"×"</formula>
    </cfRule>
    <cfRule type="cellIs" dxfId="620" priority="32" operator="equal">
      <formula>"√"</formula>
    </cfRule>
  </conditionalFormatting>
  <conditionalFormatting sqref="L86">
    <cfRule type="cellIs" dxfId="619" priority="29" operator="equal">
      <formula>"未完成"</formula>
    </cfRule>
    <cfRule type="cellIs" dxfId="618" priority="30" operator="equal">
      <formula>"已完成"</formula>
    </cfRule>
  </conditionalFormatting>
  <conditionalFormatting sqref="N87:O87">
    <cfRule type="cellIs" dxfId="617" priority="27" operator="equal">
      <formula>"×"</formula>
    </cfRule>
    <cfRule type="cellIs" dxfId="616" priority="28" operator="equal">
      <formula>"√"</formula>
    </cfRule>
  </conditionalFormatting>
  <conditionalFormatting sqref="L87">
    <cfRule type="cellIs" dxfId="615" priority="25" operator="equal">
      <formula>"未完成"</formula>
    </cfRule>
    <cfRule type="cellIs" dxfId="614" priority="26" operator="equal">
      <formula>"已完成"</formula>
    </cfRule>
  </conditionalFormatting>
  <conditionalFormatting sqref="N88:O88">
    <cfRule type="cellIs" dxfId="613" priority="23" operator="equal">
      <formula>"×"</formula>
    </cfRule>
    <cfRule type="cellIs" dxfId="612" priority="24" operator="equal">
      <formula>"√"</formula>
    </cfRule>
  </conditionalFormatting>
  <conditionalFormatting sqref="L88">
    <cfRule type="cellIs" dxfId="611" priority="21" operator="equal">
      <formula>"未完成"</formula>
    </cfRule>
    <cfRule type="cellIs" dxfId="610" priority="22" operator="equal">
      <formula>"已完成"</formula>
    </cfRule>
  </conditionalFormatting>
  <conditionalFormatting sqref="N89:O89">
    <cfRule type="cellIs" dxfId="609" priority="19" operator="equal">
      <formula>"×"</formula>
    </cfRule>
    <cfRule type="cellIs" dxfId="608" priority="20" operator="equal">
      <formula>"√"</formula>
    </cfRule>
  </conditionalFormatting>
  <conditionalFormatting sqref="L89">
    <cfRule type="cellIs" dxfId="607" priority="17" operator="equal">
      <formula>"未完成"</formula>
    </cfRule>
    <cfRule type="cellIs" dxfId="606" priority="18" operator="equal">
      <formula>"已完成"</formula>
    </cfRule>
  </conditionalFormatting>
  <conditionalFormatting sqref="N26:O26">
    <cfRule type="cellIs" dxfId="605" priority="15" operator="equal">
      <formula>"×"</formula>
    </cfRule>
    <cfRule type="cellIs" dxfId="604" priority="16" operator="equal">
      <formula>"√"</formula>
    </cfRule>
  </conditionalFormatting>
  <conditionalFormatting sqref="L26">
    <cfRule type="cellIs" dxfId="603" priority="13" operator="equal">
      <formula>"未完成"</formula>
    </cfRule>
    <cfRule type="cellIs" dxfId="602" priority="14" operator="equal">
      <formula>"已完成"</formula>
    </cfRule>
  </conditionalFormatting>
  <conditionalFormatting sqref="L20">
    <cfRule type="cellIs" dxfId="601" priority="9" operator="equal">
      <formula>"未完成"</formula>
    </cfRule>
    <cfRule type="cellIs" dxfId="600" priority="10" operator="equal">
      <formula>"已完成"</formula>
    </cfRule>
  </conditionalFormatting>
  <conditionalFormatting sqref="D20">
    <cfRule type="cellIs" dxfId="599" priority="11" operator="equal">
      <formula>"×"</formula>
    </cfRule>
    <cfRule type="cellIs" dxfId="598" priority="12" operator="equal">
      <formula>"√"</formula>
    </cfRule>
  </conditionalFormatting>
  <conditionalFormatting sqref="D21:D22 N21:N22">
    <cfRule type="cellIs" dxfId="597" priority="7" operator="equal">
      <formula>"×"</formula>
    </cfRule>
    <cfRule type="cellIs" dxfId="596" priority="8" operator="equal">
      <formula>"√"</formula>
    </cfRule>
  </conditionalFormatting>
  <conditionalFormatting sqref="L21:L22">
    <cfRule type="cellIs" dxfId="595" priority="5" operator="equal">
      <formula>"未完成"</formula>
    </cfRule>
    <cfRule type="cellIs" dxfId="594" priority="6" operator="equal">
      <formula>"已完成"</formula>
    </cfRule>
  </conditionalFormatting>
  <conditionalFormatting sqref="D23 N23">
    <cfRule type="cellIs" dxfId="593" priority="3" operator="equal">
      <formula>"×"</formula>
    </cfRule>
    <cfRule type="cellIs" dxfId="592" priority="4" operator="equal">
      <formula>"√"</formula>
    </cfRule>
  </conditionalFormatting>
  <conditionalFormatting sqref="L23">
    <cfRule type="cellIs" dxfId="591" priority="1" operator="equal">
      <formula>"未完成"</formula>
    </cfRule>
    <cfRule type="cellIs" dxfId="590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I21:I23</xm:sqref>
        </x14:dataValidation>
        <x14:dataValidation type="list" allowBlank="1" showInputMessage="1" showErrorMessage="1">
          <x14:formula1>
            <xm:f>配置!$I$4:$I$8</xm:f>
          </x14:formula1>
          <xm:sqref>E21:F23</xm:sqref>
        </x14:dataValidation>
        <x14:dataValidation type="list" allowBlank="1" showInputMessage="1" showErrorMessage="1">
          <x14:formula1>
            <xm:f>配置!$K$4:$K$8</xm:f>
          </x14:formula1>
          <xm:sqref>C21:C23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G18:G19 G21:G23</xm:sqref>
        </x14:dataValidation>
        <x14:dataValidation type="list" allowBlank="1" showInputMessage="1" showErrorMessage="1">
          <x14:formula1>
            <xm:f>配置!$E$4:$E$6</xm:f>
          </x14:formula1>
          <xm:sqref>L18:L19 L21:L23</xm:sqref>
        </x14:dataValidation>
        <x14:dataValidation type="list" allowBlank="1" showInputMessage="1" showErrorMessage="1">
          <x14:formula1>
            <xm:f>配置!$E$3:$E$5</xm:f>
          </x14:formula1>
          <xm:sqref>L6:L16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V97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H8" sqref="H8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77"/>
      <c r="B2" s="206" t="s">
        <v>55</v>
      </c>
      <c r="C2" s="207"/>
      <c r="D2" s="78" t="s">
        <v>144</v>
      </c>
      <c r="E2" s="206" t="s">
        <v>44</v>
      </c>
      <c r="F2" s="207"/>
      <c r="G2" s="208"/>
      <c r="H2" s="209"/>
      <c r="I2" s="210"/>
      <c r="J2" s="211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52</v>
      </c>
      <c r="H3" s="217"/>
      <c r="I3" s="212" t="s">
        <v>56</v>
      </c>
      <c r="J3" s="218" t="s">
        <v>8</v>
      </c>
      <c r="K3" s="219"/>
      <c r="L3" s="189" t="s">
        <v>14</v>
      </c>
      <c r="M3" s="84"/>
      <c r="N3" s="195" t="s">
        <v>96</v>
      </c>
      <c r="O3" s="197" t="s">
        <v>56</v>
      </c>
      <c r="P3" s="198"/>
      <c r="Q3" s="201" t="s">
        <v>16</v>
      </c>
    </row>
    <row r="4" spans="1:18" s="10" customFormat="1" ht="16.05" customHeight="1" x14ac:dyDescent="0.45">
      <c r="A4" s="85"/>
      <c r="B4" s="213"/>
      <c r="C4" s="215"/>
      <c r="D4" s="213"/>
      <c r="E4" s="86" t="s">
        <v>53</v>
      </c>
      <c r="F4" s="86" t="s">
        <v>54</v>
      </c>
      <c r="G4" s="87" t="s">
        <v>12</v>
      </c>
      <c r="H4" s="88" t="s">
        <v>13</v>
      </c>
      <c r="I4" s="213"/>
      <c r="J4" s="108" t="s">
        <v>12</v>
      </c>
      <c r="K4" s="108" t="s">
        <v>13</v>
      </c>
      <c r="L4" s="190"/>
      <c r="M4" s="89" t="s">
        <v>15</v>
      </c>
      <c r="N4" s="196"/>
      <c r="O4" s="199"/>
      <c r="P4" s="200"/>
      <c r="Q4" s="202"/>
    </row>
    <row r="5" spans="1:18" s="10" customFormat="1" ht="20" customHeight="1" x14ac:dyDescent="0.5">
      <c r="A5" s="146"/>
      <c r="B5" s="252" t="s">
        <v>95</v>
      </c>
      <c r="C5" s="253"/>
      <c r="D5" s="254"/>
      <c r="E5" s="147">
        <v>6.9444444444444447E-4</v>
      </c>
      <c r="F5" s="148">
        <v>4.1666666666666664E-2</v>
      </c>
      <c r="G5" s="250" t="str">
        <f>IF(L5="","",IF(G5="",$G$2,G5))</f>
        <v/>
      </c>
      <c r="H5" s="251"/>
      <c r="I5" s="250" t="str">
        <f ca="1">IF(L5="","",IF(I5="",TEXT(NOW(),"yyyy-mm-dd h:mm:ss"),I5))</f>
        <v/>
      </c>
      <c r="J5" s="255"/>
      <c r="K5" s="251"/>
      <c r="L5" s="33"/>
      <c r="M5" s="45" t="str">
        <f t="shared" ref="M5:M19" ca="1" si="0">IF(M5=0,"",IF(L5&lt;&gt;M5,L5,M5))</f>
        <v/>
      </c>
      <c r="N5" s="140" t="str">
        <f>IF(L5="未完成","×",IF(L5="已完成","√",""))</f>
        <v/>
      </c>
      <c r="O5" s="240" t="str">
        <f>IF(L5="","",IF(AND(TEXT(I5,"yyyymmddhhmmss")&gt;TEXT(SheetName,"yyyymmdd")&amp;TEXT(E5,"hhmmss"),TEXT(I5,"yyyymmddhhmmss")&lt;TEXT(SheetName,"yyyymmdd")&amp;TEXT(F5,"hhmmss")),"","超  时"))</f>
        <v/>
      </c>
      <c r="P5" s="241"/>
      <c r="Q5" s="141"/>
    </row>
    <row r="6" spans="1:18" s="8" customFormat="1" ht="20" customHeight="1" x14ac:dyDescent="0.5">
      <c r="A6" s="138"/>
      <c r="B6" s="149">
        <v>1</v>
      </c>
      <c r="C6" s="135" t="s">
        <v>48</v>
      </c>
      <c r="D6" s="150" t="s">
        <v>117</v>
      </c>
      <c r="E6" s="147">
        <v>6.9444444444444447E-4</v>
      </c>
      <c r="F6" s="148">
        <v>0.29166666666666669</v>
      </c>
      <c r="G6" s="135" t="str">
        <f t="shared" ref="G6" si="1">IF(L6="","",IF(G6="",$G$2,G6))</f>
        <v/>
      </c>
      <c r="H6" s="135" t="str">
        <f t="shared" ref="H6" ca="1" si="2">IF(L6="","",IF(H6="",TEXT(NOW(),"yyyy-mm-dd h:mm:ss"),H6))</f>
        <v/>
      </c>
      <c r="I6" s="151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35" t="str">
        <f t="shared" ref="J6" si="4">IF(L6 ="","",IF(L6&lt;&gt;M6,$G$2,J6))</f>
        <v/>
      </c>
      <c r="K6" s="135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42" t="str">
        <f t="shared" ref="N6" si="7">IF(L6="未完成","×",IF(L6="已完成","√",""))</f>
        <v/>
      </c>
      <c r="O6" s="240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41"/>
      <c r="Q6" s="143"/>
    </row>
    <row r="7" spans="1:18" s="8" customFormat="1" ht="20" customHeight="1" x14ac:dyDescent="0.5">
      <c r="A7" s="138"/>
      <c r="B7" s="149">
        <v>2</v>
      </c>
      <c r="C7" s="135" t="s">
        <v>48</v>
      </c>
      <c r="D7" s="150" t="s">
        <v>148</v>
      </c>
      <c r="E7" s="147">
        <v>6.9444444444444447E-4</v>
      </c>
      <c r="F7" s="148">
        <v>0.29166666666666669</v>
      </c>
      <c r="G7" s="135" t="str">
        <f t="shared" ref="G7" si="9">IF(L7="","",IF(G7="",$G$2,G7))</f>
        <v/>
      </c>
      <c r="H7" s="135" t="str">
        <f t="shared" ref="H7" ca="1" si="10">IF(L7="","",IF(H7="",TEXT(NOW(),"yyyy-mm-dd h:mm:ss"),H7))</f>
        <v/>
      </c>
      <c r="I7" s="151" t="str">
        <f t="shared" ref="I7" si="11">IF(L7="","",IF(AND(TEXT(H7,"yyyymmddhhmmss")&gt;TEXT(SheetName,"yyyymmdd")&amp;TEXT(E7,"hhmmss"),TEXT(H7,"yyyymmddhhmmss")&lt;TEXT(SheetName,"yyyymmdd")&amp;TEXT(F7,"hhmmss")),"","超  时"))</f>
        <v/>
      </c>
      <c r="J7" s="135" t="str">
        <f t="shared" ref="J7" si="12">IF(L7 ="","",IF(L7&lt;&gt;M7,$G$2,J7))</f>
        <v/>
      </c>
      <c r="K7" s="135" t="str">
        <f t="shared" ref="K7" ca="1" si="13">IF(L7 = "","",IF(L7&lt;&gt;M7,TEXT(NOW(),"yyyy-mm-dd h:mm:ss"),K7))</f>
        <v/>
      </c>
      <c r="L7" s="18"/>
      <c r="M7" s="5" t="str">
        <f t="shared" ref="M7" ca="1" si="14">IF(M7=0,"",IF(L7&lt;&gt;M7,L7,M7))</f>
        <v/>
      </c>
      <c r="N7" s="142" t="str">
        <f t="shared" ref="N7" si="15">IF(L7="未完成","×",IF(L7="已完成","√",""))</f>
        <v/>
      </c>
      <c r="O7" s="240" t="str">
        <f t="shared" ref="O7" si="16">IF(L7="","",IF(AND(TEXT(K7,"yyyymmddhhmmss")&gt;TEXT(SheetName,"yyyymmdd")&amp;TEXT(E7,"hhmmss"),TEXT(K7,"yyyymmddhhmmss")&lt;TEXT(SheetName,"yyyymmdd")&amp;TEXT(F7,"hhmmss")),"","超  时"))</f>
        <v/>
      </c>
      <c r="P7" s="241"/>
      <c r="Q7" s="143"/>
    </row>
    <row r="8" spans="1:18" s="8" customFormat="1" ht="19.899999999999999" customHeight="1" x14ac:dyDescent="0.5">
      <c r="A8" s="138"/>
      <c r="B8" s="149">
        <v>3</v>
      </c>
      <c r="C8" s="135" t="s">
        <v>48</v>
      </c>
      <c r="D8" s="150" t="s">
        <v>18</v>
      </c>
      <c r="E8" s="147">
        <v>6.9444444444444447E-4</v>
      </c>
      <c r="F8" s="148">
        <v>0.29166666666666669</v>
      </c>
      <c r="G8" s="135" t="str">
        <f t="shared" ref="G8:G19" si="17">IF(L8="","",IF(G8="",$G$2,G8))</f>
        <v/>
      </c>
      <c r="H8" s="135" t="str">
        <f t="shared" ref="H8:H19" ca="1" si="18">IF(L8="","",IF(H8="",TEXT(NOW(),"yyyy-mm-dd h:mm:ss"),H8))</f>
        <v/>
      </c>
      <c r="I8" s="151" t="str">
        <f t="shared" ref="I8:I19" si="19">IF(L8="","",IF(AND(TEXT(H8,"yyyymmddhhmmss")&gt;TEXT(SheetName,"yyyymmdd")&amp;TEXT(E8,"hhmmss"),TEXT(H8,"yyyymmddhhmmss")&lt;TEXT(SheetName,"yyyymmdd")&amp;TEXT(F8,"hhmmss")),"","超  时"))</f>
        <v/>
      </c>
      <c r="J8" s="135" t="str">
        <f t="shared" ref="J8:J19" si="20">IF(L8 ="","",IF(L8&lt;&gt;M8,$G$2,J8))</f>
        <v/>
      </c>
      <c r="K8" s="135" t="str">
        <f t="shared" ref="K8:K19" ca="1" si="21">IF(L8 = "","",IF(L8&lt;&gt;M8,TEXT(NOW(),"yyyy-mm-dd h:mm:ss"),K8))</f>
        <v/>
      </c>
      <c r="L8" s="18"/>
      <c r="M8" s="5" t="str">
        <f t="shared" ca="1" si="0"/>
        <v/>
      </c>
      <c r="N8" s="142" t="str">
        <f t="shared" ref="N8:N19" si="22">IF(L8="未完成","×",IF(L8="已完成","√",""))</f>
        <v/>
      </c>
      <c r="O8" s="240" t="str">
        <f t="shared" ref="O8:O19" si="23">IF(L8="","",IF(AND(TEXT(K8,"yyyymmddhhmmss")&gt;TEXT(SheetName,"yyyymmdd")&amp;TEXT(E8,"hhmmss"),TEXT(K8,"yyyymmddhhmmss")&lt;TEXT(SheetName,"yyyymmdd")&amp;TEXT(F8,"hhmmss")),"","超  时"))</f>
        <v/>
      </c>
      <c r="P8" s="241"/>
      <c r="Q8" s="143"/>
    </row>
    <row r="9" spans="1:18" s="2" customFormat="1" ht="20" customHeight="1" x14ac:dyDescent="0.5">
      <c r="A9" s="138"/>
      <c r="B9" s="149">
        <v>4</v>
      </c>
      <c r="C9" s="135" t="s">
        <v>48</v>
      </c>
      <c r="D9" s="150" t="s">
        <v>102</v>
      </c>
      <c r="E9" s="147">
        <v>6.9444444444444447E-4</v>
      </c>
      <c r="F9" s="148">
        <v>0.29166666666666669</v>
      </c>
      <c r="G9" s="135" t="str">
        <f t="shared" si="17"/>
        <v/>
      </c>
      <c r="H9" s="135" t="str">
        <f t="shared" ca="1" si="18"/>
        <v/>
      </c>
      <c r="I9" s="151" t="str">
        <f t="shared" si="19"/>
        <v/>
      </c>
      <c r="J9" s="135" t="str">
        <f t="shared" si="20"/>
        <v/>
      </c>
      <c r="K9" s="135" t="str">
        <f t="shared" ca="1" si="21"/>
        <v/>
      </c>
      <c r="L9" s="18"/>
      <c r="M9" s="5" t="str">
        <f t="shared" ca="1" si="0"/>
        <v/>
      </c>
      <c r="N9" s="142" t="str">
        <f t="shared" si="22"/>
        <v/>
      </c>
      <c r="O9" s="240" t="str">
        <f t="shared" si="23"/>
        <v/>
      </c>
      <c r="P9" s="241"/>
      <c r="Q9" s="143"/>
      <c r="R9" s="8"/>
    </row>
    <row r="10" spans="1:18" s="2" customFormat="1" ht="20" customHeight="1" x14ac:dyDescent="0.5">
      <c r="A10" s="138"/>
      <c r="B10" s="149">
        <v>5</v>
      </c>
      <c r="C10" s="135" t="s">
        <v>48</v>
      </c>
      <c r="D10" s="150" t="s">
        <v>146</v>
      </c>
      <c r="E10" s="147">
        <v>6.9444444444444447E-4</v>
      </c>
      <c r="F10" s="148">
        <v>0.29166666666666669</v>
      </c>
      <c r="G10" s="135" t="str">
        <f t="shared" si="17"/>
        <v/>
      </c>
      <c r="H10" s="135" t="str">
        <f t="shared" ca="1" si="18"/>
        <v/>
      </c>
      <c r="I10" s="151" t="str">
        <f t="shared" si="19"/>
        <v/>
      </c>
      <c r="J10" s="135" t="str">
        <f t="shared" si="20"/>
        <v/>
      </c>
      <c r="K10" s="135" t="str">
        <f t="shared" ca="1" si="21"/>
        <v/>
      </c>
      <c r="L10" s="18"/>
      <c r="M10" s="5" t="str">
        <f t="shared" ca="1" si="0"/>
        <v/>
      </c>
      <c r="N10" s="142" t="str">
        <f t="shared" si="22"/>
        <v/>
      </c>
      <c r="O10" s="240" t="str">
        <f t="shared" si="23"/>
        <v/>
      </c>
      <c r="P10" s="241"/>
      <c r="Q10" s="144"/>
      <c r="R10" s="8"/>
    </row>
    <row r="11" spans="1:18" s="2" customFormat="1" ht="20" customHeight="1" x14ac:dyDescent="0.5">
      <c r="A11" s="138"/>
      <c r="B11" s="149">
        <v>6</v>
      </c>
      <c r="C11" s="135" t="s">
        <v>48</v>
      </c>
      <c r="D11" s="150" t="s">
        <v>147</v>
      </c>
      <c r="E11" s="147">
        <v>6.9444444444444447E-4</v>
      </c>
      <c r="F11" s="148">
        <v>0.29166666666666669</v>
      </c>
      <c r="G11" s="135" t="str">
        <f t="shared" ref="G11" si="24">IF(L11="","",IF(G11="",$G$2,G11))</f>
        <v/>
      </c>
      <c r="H11" s="135" t="str">
        <f t="shared" ref="H11" ca="1" si="25">IF(L11="","",IF(H11="",TEXT(NOW(),"yyyy-mm-dd h:mm:ss"),H11))</f>
        <v/>
      </c>
      <c r="I11" s="151" t="str">
        <f t="shared" ref="I11" si="26">IF(L11="","",IF(AND(TEXT(H11,"yyyymmddhhmmss")&gt;TEXT(SheetName,"yyyymmdd")&amp;TEXT(E11,"hhmmss"),TEXT(H11,"yyyymmddhhmmss")&lt;TEXT(SheetName,"yyyymmdd")&amp;TEXT(F11,"hhmmss")),"","超  时"))</f>
        <v/>
      </c>
      <c r="J11" s="135" t="str">
        <f t="shared" ref="J11" si="27">IF(L11 ="","",IF(L11&lt;&gt;M11,$G$2,J11))</f>
        <v/>
      </c>
      <c r="K11" s="135" t="str">
        <f t="shared" ref="K11" ca="1" si="28">IF(L11 = "","",IF(L11&lt;&gt;M11,TEXT(NOW(),"yyyy-mm-dd h:mm:ss"),K11))</f>
        <v/>
      </c>
      <c r="L11" s="18"/>
      <c r="M11" s="5" t="str">
        <f t="shared" ref="M11" ca="1" si="29">IF(M11=0,"",IF(L11&lt;&gt;M11,L11,M11))</f>
        <v/>
      </c>
      <c r="N11" s="142" t="str">
        <f t="shared" ref="N11" si="30">IF(L11="未完成","×",IF(L11="已完成","√",""))</f>
        <v/>
      </c>
      <c r="O11" s="240" t="str">
        <f t="shared" ref="O11" si="31">IF(L11="","",IF(AND(TEXT(K11,"yyyymmddhhmmss")&gt;TEXT(SheetName,"yyyymmdd")&amp;TEXT(E11,"hhmmss"),TEXT(K11,"yyyymmddhhmmss")&lt;TEXT(SheetName,"yyyymmdd")&amp;TEXT(F11,"hhmmss")),"","超  时"))</f>
        <v/>
      </c>
      <c r="P11" s="241"/>
      <c r="Q11" s="144"/>
      <c r="R11" s="8"/>
    </row>
    <row r="12" spans="1:18" s="2" customFormat="1" ht="20" customHeight="1" x14ac:dyDescent="0.5">
      <c r="A12" s="152" t="s">
        <v>141</v>
      </c>
      <c r="B12" s="149">
        <v>7</v>
      </c>
      <c r="C12" s="135" t="s">
        <v>48</v>
      </c>
      <c r="D12" s="150" t="s">
        <v>19</v>
      </c>
      <c r="E12" s="147">
        <v>6.9444444444444447E-4</v>
      </c>
      <c r="F12" s="148">
        <v>0.29166666666666669</v>
      </c>
      <c r="G12" s="135" t="str">
        <f t="shared" si="17"/>
        <v/>
      </c>
      <c r="H12" s="135" t="str">
        <f t="shared" ca="1" si="18"/>
        <v/>
      </c>
      <c r="I12" s="151" t="str">
        <f t="shared" si="19"/>
        <v/>
      </c>
      <c r="J12" s="135" t="str">
        <f t="shared" si="20"/>
        <v/>
      </c>
      <c r="K12" s="135" t="str">
        <f ca="1">IF(L12 = "","",IF(L12&lt;&gt;M12,TEXT(NOW(),"yyyy-mm-dd h:mm:ss"),K12))</f>
        <v/>
      </c>
      <c r="L12" s="18"/>
      <c r="M12" s="5" t="str">
        <f t="shared" ca="1" si="0"/>
        <v/>
      </c>
      <c r="N12" s="142" t="str">
        <f t="shared" si="22"/>
        <v/>
      </c>
      <c r="O12" s="240" t="str">
        <f t="shared" si="23"/>
        <v/>
      </c>
      <c r="P12" s="241"/>
      <c r="Q12" s="145"/>
      <c r="R12" s="8"/>
    </row>
    <row r="13" spans="1:18" s="2" customFormat="1" ht="20" customHeight="1" x14ac:dyDescent="0.5">
      <c r="A13" s="152"/>
      <c r="B13" s="149">
        <v>8</v>
      </c>
      <c r="C13" s="135" t="s">
        <v>48</v>
      </c>
      <c r="D13" s="150" t="s">
        <v>20</v>
      </c>
      <c r="E13" s="147">
        <v>6.9444444444444447E-4</v>
      </c>
      <c r="F13" s="148">
        <v>0.29166666666666669</v>
      </c>
      <c r="G13" s="135" t="str">
        <f t="shared" si="17"/>
        <v/>
      </c>
      <c r="H13" s="135" t="str">
        <f t="shared" ca="1" si="18"/>
        <v/>
      </c>
      <c r="I13" s="151" t="str">
        <f t="shared" si="19"/>
        <v/>
      </c>
      <c r="J13" s="135" t="str">
        <f t="shared" si="20"/>
        <v/>
      </c>
      <c r="K13" s="135" t="str">
        <f t="shared" ca="1" si="21"/>
        <v/>
      </c>
      <c r="L13" s="18"/>
      <c r="M13" s="5" t="str">
        <f t="shared" ca="1" si="0"/>
        <v/>
      </c>
      <c r="N13" s="142" t="str">
        <f t="shared" si="22"/>
        <v/>
      </c>
      <c r="O13" s="240" t="str">
        <f t="shared" si="23"/>
        <v/>
      </c>
      <c r="P13" s="241"/>
      <c r="Q13" s="141"/>
      <c r="R13" s="8"/>
    </row>
    <row r="14" spans="1:18" s="2" customFormat="1" ht="20" customHeight="1" x14ac:dyDescent="0.5">
      <c r="A14" s="152"/>
      <c r="B14" s="149">
        <v>9</v>
      </c>
      <c r="C14" s="135" t="s">
        <v>48</v>
      </c>
      <c r="D14" s="150" t="s">
        <v>21</v>
      </c>
      <c r="E14" s="147">
        <v>6.9444444444444447E-4</v>
      </c>
      <c r="F14" s="148">
        <v>0.29166666666666669</v>
      </c>
      <c r="G14" s="135" t="str">
        <f t="shared" si="17"/>
        <v/>
      </c>
      <c r="H14" s="135" t="str">
        <f t="shared" ca="1" si="18"/>
        <v/>
      </c>
      <c r="I14" s="151" t="str">
        <f t="shared" si="19"/>
        <v/>
      </c>
      <c r="J14" s="135" t="str">
        <f t="shared" si="20"/>
        <v/>
      </c>
      <c r="K14" s="135" t="str">
        <f t="shared" ca="1" si="21"/>
        <v/>
      </c>
      <c r="L14" s="18"/>
      <c r="M14" s="5" t="str">
        <f t="shared" ca="1" si="0"/>
        <v/>
      </c>
      <c r="N14" s="142" t="str">
        <f t="shared" si="22"/>
        <v/>
      </c>
      <c r="O14" s="240" t="str">
        <f t="shared" si="23"/>
        <v/>
      </c>
      <c r="P14" s="241"/>
      <c r="Q14" s="141"/>
      <c r="R14" s="8"/>
    </row>
    <row r="15" spans="1:18" s="2" customFormat="1" ht="20" customHeight="1" x14ac:dyDescent="0.5">
      <c r="A15" s="152"/>
      <c r="B15" s="149">
        <v>10</v>
      </c>
      <c r="C15" s="135" t="s">
        <v>48</v>
      </c>
      <c r="D15" s="150" t="s">
        <v>22</v>
      </c>
      <c r="E15" s="147">
        <v>6.9444444444444447E-4</v>
      </c>
      <c r="F15" s="148">
        <v>0.29166666666666669</v>
      </c>
      <c r="G15" s="135" t="str">
        <f t="shared" si="17"/>
        <v/>
      </c>
      <c r="H15" s="135" t="str">
        <f t="shared" ca="1" si="18"/>
        <v/>
      </c>
      <c r="I15" s="151" t="str">
        <f t="shared" si="19"/>
        <v/>
      </c>
      <c r="J15" s="135" t="str">
        <f t="shared" si="20"/>
        <v/>
      </c>
      <c r="K15" s="135" t="str">
        <f t="shared" ca="1" si="21"/>
        <v/>
      </c>
      <c r="L15" s="18"/>
      <c r="M15" s="5" t="str">
        <f t="shared" ca="1" si="0"/>
        <v/>
      </c>
      <c r="N15" s="142" t="str">
        <f t="shared" si="22"/>
        <v/>
      </c>
      <c r="O15" s="240" t="str">
        <f t="shared" si="23"/>
        <v/>
      </c>
      <c r="P15" s="241"/>
      <c r="Q15" s="141"/>
      <c r="R15" s="8"/>
    </row>
    <row r="16" spans="1:18" s="2" customFormat="1" ht="20" customHeight="1" x14ac:dyDescent="0.5">
      <c r="A16" s="152"/>
      <c r="B16" s="149">
        <v>11</v>
      </c>
      <c r="C16" s="135" t="s">
        <v>48</v>
      </c>
      <c r="D16" s="150" t="s">
        <v>104</v>
      </c>
      <c r="E16" s="147">
        <v>6.9444444444444447E-4</v>
      </c>
      <c r="F16" s="148">
        <v>0.29166666666666669</v>
      </c>
      <c r="G16" s="135" t="str">
        <f t="shared" si="17"/>
        <v/>
      </c>
      <c r="H16" s="135" t="str">
        <f t="shared" ca="1" si="18"/>
        <v/>
      </c>
      <c r="I16" s="151" t="str">
        <f t="shared" si="19"/>
        <v/>
      </c>
      <c r="J16" s="135" t="str">
        <f t="shared" si="20"/>
        <v/>
      </c>
      <c r="K16" s="135" t="str">
        <f t="shared" ca="1" si="21"/>
        <v/>
      </c>
      <c r="L16" s="18"/>
      <c r="M16" s="5" t="str">
        <f t="shared" ca="1" si="0"/>
        <v/>
      </c>
      <c r="N16" s="142" t="str">
        <f t="shared" si="22"/>
        <v/>
      </c>
      <c r="O16" s="240" t="str">
        <f t="shared" si="23"/>
        <v/>
      </c>
      <c r="P16" s="241"/>
      <c r="Q16" s="141"/>
      <c r="R16" s="8" t="s">
        <v>51</v>
      </c>
    </row>
    <row r="17" spans="1:18" s="2" customFormat="1" ht="20" customHeight="1" x14ac:dyDescent="0.5">
      <c r="A17" s="152"/>
      <c r="B17" s="149">
        <v>12</v>
      </c>
      <c r="C17" s="135" t="s">
        <v>48</v>
      </c>
      <c r="D17" s="150" t="s">
        <v>118</v>
      </c>
      <c r="E17" s="147">
        <v>6.9444444444444447E-4</v>
      </c>
      <c r="F17" s="148">
        <v>0.29166666666666669</v>
      </c>
      <c r="G17" s="135" t="str">
        <f t="shared" ref="G17" si="32">IF(L17="","",IF(G17="",$G$2,G17))</f>
        <v/>
      </c>
      <c r="H17" s="135" t="str">
        <f t="shared" ref="H17" ca="1" si="33">IF(L17="","",IF(H17="",TEXT(NOW(),"yyyy-mm-dd h:mm:ss"),H17))</f>
        <v/>
      </c>
      <c r="I17" s="151" t="str">
        <f t="shared" ref="I17" si="34">IF(L17="","",IF(AND(TEXT(H17,"yyyymmddhhmmss")&gt;TEXT(SheetName,"yyyymmdd")&amp;TEXT(E17,"hhmmss"),TEXT(H17,"yyyymmddhhmmss")&lt;TEXT(SheetName,"yyyymmdd")&amp;TEXT(F17,"hhmmss")),"","超  时"))</f>
        <v/>
      </c>
      <c r="J17" s="135" t="str">
        <f t="shared" ref="J17" si="35">IF(L17 ="","",IF(L17&lt;&gt;M17,$G$2,J17))</f>
        <v/>
      </c>
      <c r="K17" s="135" t="str">
        <f t="shared" ref="K17" ca="1" si="36">IF(L17 = "","",IF(L17&lt;&gt;M17,TEXT(NOW(),"yyyy-mm-dd h:mm:ss"),K17))</f>
        <v/>
      </c>
      <c r="L17" s="18"/>
      <c r="M17" s="5" t="str">
        <f t="shared" ref="M17" ca="1" si="37">IF(M17=0,"",IF(L17&lt;&gt;M17,L17,M17))</f>
        <v/>
      </c>
      <c r="N17" s="142" t="str">
        <f t="shared" ref="N17" si="38">IF(L17="未完成","×",IF(L17="已完成","√",""))</f>
        <v/>
      </c>
      <c r="O17" s="240" t="str">
        <f t="shared" ref="O17" si="39">IF(L17="","",IF(AND(TEXT(K17,"yyyymmddhhmmss")&gt;TEXT(SheetName,"yyyymmdd")&amp;TEXT(E17,"hhmmss"),TEXT(K17,"yyyymmddhhmmss")&lt;TEXT(SheetName,"yyyymmdd")&amp;TEXT(F17,"hhmmss")),"","超  时"))</f>
        <v/>
      </c>
      <c r="P17" s="241"/>
      <c r="Q17" s="141"/>
      <c r="R17" s="8" t="s">
        <v>51</v>
      </c>
    </row>
    <row r="18" spans="1:18" s="2" customFormat="1" ht="20" customHeight="1" x14ac:dyDescent="0.5">
      <c r="A18" s="138"/>
      <c r="B18" s="149">
        <v>13</v>
      </c>
      <c r="C18" s="135" t="s">
        <v>49</v>
      </c>
      <c r="D18" s="150" t="s">
        <v>143</v>
      </c>
      <c r="E18" s="147">
        <v>6.9444444444444447E-4</v>
      </c>
      <c r="F18" s="148">
        <v>0.29166666666666669</v>
      </c>
      <c r="G18" s="135" t="str">
        <f t="shared" si="17"/>
        <v/>
      </c>
      <c r="H18" s="135" t="str">
        <f t="shared" ca="1" si="18"/>
        <v/>
      </c>
      <c r="I18" s="151" t="str">
        <f t="shared" si="19"/>
        <v/>
      </c>
      <c r="J18" s="135" t="str">
        <f t="shared" si="20"/>
        <v/>
      </c>
      <c r="K18" s="135" t="str">
        <f t="shared" ca="1" si="21"/>
        <v/>
      </c>
      <c r="L18" s="18"/>
      <c r="M18" s="5" t="str">
        <f t="shared" ca="1" si="0"/>
        <v/>
      </c>
      <c r="N18" s="142" t="str">
        <f t="shared" si="22"/>
        <v/>
      </c>
      <c r="O18" s="240" t="str">
        <f t="shared" si="23"/>
        <v/>
      </c>
      <c r="P18" s="241"/>
      <c r="Q18" s="141"/>
      <c r="R18" s="8"/>
    </row>
    <row r="19" spans="1:18" s="2" customFormat="1" ht="20" customHeight="1" x14ac:dyDescent="0.5">
      <c r="A19" s="138"/>
      <c r="B19" s="149">
        <v>14</v>
      </c>
      <c r="C19" s="135" t="s">
        <v>49</v>
      </c>
      <c r="D19" s="150" t="s">
        <v>142</v>
      </c>
      <c r="E19" s="147">
        <v>6.9444444444444447E-4</v>
      </c>
      <c r="F19" s="148">
        <v>0.29166666666666669</v>
      </c>
      <c r="G19" s="135" t="str">
        <f t="shared" si="17"/>
        <v/>
      </c>
      <c r="H19" s="135" t="str">
        <f t="shared" ca="1" si="18"/>
        <v/>
      </c>
      <c r="I19" s="151" t="str">
        <f t="shared" si="19"/>
        <v/>
      </c>
      <c r="J19" s="135" t="str">
        <f t="shared" si="20"/>
        <v/>
      </c>
      <c r="K19" s="135" t="str">
        <f t="shared" ca="1" si="21"/>
        <v/>
      </c>
      <c r="L19" s="18"/>
      <c r="M19" s="5" t="str">
        <f t="shared" ca="1" si="0"/>
        <v/>
      </c>
      <c r="N19" s="142" t="str">
        <f t="shared" si="22"/>
        <v/>
      </c>
      <c r="O19" s="240" t="str">
        <f t="shared" si="23"/>
        <v/>
      </c>
      <c r="P19" s="241"/>
      <c r="Q19" s="141"/>
      <c r="R19" s="8"/>
    </row>
    <row r="20" spans="1:18" s="2" customFormat="1" ht="20" customHeight="1" x14ac:dyDescent="0.5">
      <c r="A20" s="138"/>
      <c r="B20" s="178" t="s">
        <v>79</v>
      </c>
      <c r="C20" s="179"/>
      <c r="D20" s="46" t="s">
        <v>76</v>
      </c>
      <c r="E20" s="180" t="s">
        <v>72</v>
      </c>
      <c r="F20" s="181"/>
      <c r="G20" s="90" t="s">
        <v>73</v>
      </c>
      <c r="H20" s="180" t="s">
        <v>77</v>
      </c>
      <c r="I20" s="181"/>
      <c r="J20" s="90" t="s">
        <v>78</v>
      </c>
      <c r="K20" s="107" t="s">
        <v>80</v>
      </c>
      <c r="L20" s="180" t="s">
        <v>70</v>
      </c>
      <c r="M20" s="182"/>
      <c r="N20" s="182"/>
      <c r="O20" s="182"/>
      <c r="P20" s="181"/>
      <c r="Q20" s="91" t="s">
        <v>71</v>
      </c>
      <c r="R20" s="8"/>
    </row>
    <row r="21" spans="1:18" s="2" customFormat="1" ht="30" customHeight="1" x14ac:dyDescent="0.5">
      <c r="A21" s="138"/>
      <c r="B21" s="250" t="s">
        <v>74</v>
      </c>
      <c r="C21" s="251"/>
      <c r="D21" s="51"/>
      <c r="E21" s="168"/>
      <c r="F21" s="169"/>
      <c r="G21" s="52"/>
      <c r="H21" s="185"/>
      <c r="I21" s="186"/>
      <c r="J21" s="135" t="str">
        <f>IF(L21 ="","",IF(L21&lt;&gt;M21,$G$2,J21))</f>
        <v/>
      </c>
      <c r="K21" s="136" t="str">
        <f ca="1">IF(L21 = "","",IF(L21&lt;&gt;M21,TEXT(NOW(),"yyyy-mm-dd h:mm:ss"),K21))</f>
        <v/>
      </c>
      <c r="L21" s="18"/>
      <c r="M21" s="71" t="str">
        <f t="shared" ref="M21:M22" ca="1" si="40">IF(M21=0,"",IF(L21&lt;&gt;M21,L21,M21))</f>
        <v/>
      </c>
      <c r="N21" s="245" t="str">
        <f>IF(L21="未完成","×",IF(L21="已完成","√",""))</f>
        <v/>
      </c>
      <c r="O21" s="246"/>
      <c r="P21" s="247"/>
      <c r="Q21" s="133"/>
      <c r="R21" s="8"/>
    </row>
    <row r="22" spans="1:18" s="2" customFormat="1" ht="30" customHeight="1" x14ac:dyDescent="0.5">
      <c r="A22" s="138"/>
      <c r="B22" s="250" t="s">
        <v>75</v>
      </c>
      <c r="C22" s="251"/>
      <c r="D22" s="51"/>
      <c r="E22" s="168"/>
      <c r="F22" s="169"/>
      <c r="G22" s="52"/>
      <c r="H22" s="185"/>
      <c r="I22" s="186"/>
      <c r="J22" s="135" t="str">
        <f t="shared" ref="J22" si="41">IF(L22 ="","",IF(L22&lt;&gt;M22,$G$2,J22))</f>
        <v/>
      </c>
      <c r="K22" s="136" t="str">
        <f ca="1">IF(L22 = "","",IF(L22&lt;&gt;M22,TEXT(NOW(),"yyyy-mm-dd h:mm:ss"),K22))</f>
        <v/>
      </c>
      <c r="L22" s="18"/>
      <c r="M22" s="45" t="str">
        <f t="shared" ca="1" si="40"/>
        <v/>
      </c>
      <c r="N22" s="248" t="str">
        <f>IF(L22="未完成","×",IF(L22="已完成","√",""))</f>
        <v/>
      </c>
      <c r="O22" s="248"/>
      <c r="P22" s="249"/>
      <c r="Q22" s="134"/>
      <c r="R22" s="8"/>
    </row>
    <row r="23" spans="1:18" s="2" customFormat="1" ht="20" customHeight="1" x14ac:dyDescent="0.5">
      <c r="A23" s="138"/>
      <c r="B23" s="178" t="s">
        <v>110</v>
      </c>
      <c r="C23" s="179"/>
      <c r="D23" s="46" t="s">
        <v>76</v>
      </c>
      <c r="E23" s="180" t="s">
        <v>68</v>
      </c>
      <c r="F23" s="181"/>
      <c r="G23" s="90" t="s">
        <v>73</v>
      </c>
      <c r="H23" s="90" t="s">
        <v>109</v>
      </c>
      <c r="I23" s="90" t="s">
        <v>108</v>
      </c>
      <c r="J23" s="90" t="s">
        <v>78</v>
      </c>
      <c r="K23" s="107" t="s">
        <v>80</v>
      </c>
      <c r="L23" s="180" t="s">
        <v>70</v>
      </c>
      <c r="M23" s="182"/>
      <c r="N23" s="182"/>
      <c r="O23" s="182"/>
      <c r="P23" s="181"/>
      <c r="Q23" s="91" t="s">
        <v>71</v>
      </c>
      <c r="R23" s="8"/>
    </row>
    <row r="24" spans="1:18" s="2" customFormat="1" ht="20" customHeight="1" x14ac:dyDescent="0.5">
      <c r="A24" s="138"/>
      <c r="B24" s="242" t="s">
        <v>111</v>
      </c>
      <c r="C24" s="95"/>
      <c r="D24" s="51"/>
      <c r="E24" s="168"/>
      <c r="F24" s="169"/>
      <c r="G24" s="52"/>
      <c r="H24" s="137" t="str">
        <f ca="1">IF(I24 = "", "", TEXT(NOW(),"yy-mm-dd hh:mm:ss"))</f>
        <v/>
      </c>
      <c r="I24" s="94"/>
      <c r="J24" s="135" t="s">
        <v>106</v>
      </c>
      <c r="K24" s="136" t="str">
        <f ca="1">IF(L24 = "","",IF(L24&lt;&gt;M24,TEXT(NOW(),"yyyy-mm-dd h:mm:ss"),K24))</f>
        <v/>
      </c>
      <c r="L24" s="18"/>
      <c r="M24" s="71" t="s">
        <v>106</v>
      </c>
      <c r="N24" s="245" t="s">
        <v>106</v>
      </c>
      <c r="O24" s="246"/>
      <c r="P24" s="247"/>
      <c r="Q24" s="133"/>
      <c r="R24" s="8"/>
    </row>
    <row r="25" spans="1:18" s="2" customFormat="1" ht="20" customHeight="1" x14ac:dyDescent="0.5">
      <c r="A25" s="138"/>
      <c r="B25" s="243"/>
      <c r="C25" s="95"/>
      <c r="D25" s="51"/>
      <c r="E25" s="168"/>
      <c r="F25" s="169"/>
      <c r="G25" s="52"/>
      <c r="H25" s="137" t="str">
        <f t="shared" ref="H25:H26" ca="1" si="42">IF(I25 = "", "", TEXT(NOW(),"yy-mm-dd hh:mm:ss"))</f>
        <v/>
      </c>
      <c r="I25" s="94"/>
      <c r="J25" s="135" t="s">
        <v>106</v>
      </c>
      <c r="K25" s="136" t="str">
        <f t="shared" ref="K25:K26" ca="1" si="43">IF(L25 = "","",IF(L25&lt;&gt;M25,TEXT(NOW(),"yyyy-mm-dd h:mm:ss"),K25))</f>
        <v/>
      </c>
      <c r="L25" s="18"/>
      <c r="M25" s="45" t="s">
        <v>106</v>
      </c>
      <c r="N25" s="248" t="s">
        <v>106</v>
      </c>
      <c r="O25" s="248"/>
      <c r="P25" s="249"/>
      <c r="Q25" s="134"/>
      <c r="R25" s="8"/>
    </row>
    <row r="26" spans="1:18" s="2" customFormat="1" ht="20" customHeight="1" x14ac:dyDescent="0.5">
      <c r="A26" s="138"/>
      <c r="B26" s="244"/>
      <c r="C26" s="95"/>
      <c r="D26" s="51"/>
      <c r="E26" s="168"/>
      <c r="F26" s="169"/>
      <c r="G26" s="52"/>
      <c r="H26" s="137" t="str">
        <f t="shared" ca="1" si="42"/>
        <v/>
      </c>
      <c r="I26" s="94"/>
      <c r="J26" s="135" t="s">
        <v>106</v>
      </c>
      <c r="K26" s="136" t="str">
        <f t="shared" ca="1" si="43"/>
        <v/>
      </c>
      <c r="L26" s="18"/>
      <c r="M26" s="71" t="s">
        <v>106</v>
      </c>
      <c r="N26" s="245" t="s">
        <v>106</v>
      </c>
      <c r="O26" s="246"/>
      <c r="P26" s="247"/>
      <c r="Q26" s="133"/>
      <c r="R26" s="8"/>
    </row>
    <row r="27" spans="1:18" s="2" customFormat="1" ht="40.049999999999997" customHeight="1" x14ac:dyDescent="0.5">
      <c r="A27" s="138"/>
      <c r="B27" s="238" t="s">
        <v>112</v>
      </c>
      <c r="C27" s="156"/>
      <c r="D27" s="157"/>
      <c r="E27" s="157"/>
      <c r="F27" s="157"/>
      <c r="G27" s="157"/>
      <c r="H27" s="158"/>
      <c r="I27" s="96" t="s">
        <v>114</v>
      </c>
      <c r="J27" s="162"/>
      <c r="K27" s="163"/>
      <c r="L27" s="163"/>
      <c r="M27" s="163"/>
      <c r="N27" s="163"/>
      <c r="O27" s="163"/>
      <c r="P27" s="163"/>
      <c r="Q27" s="164"/>
    </row>
    <row r="28" spans="1:18" s="2" customFormat="1" ht="40.15" customHeight="1" x14ac:dyDescent="0.5">
      <c r="A28" s="139"/>
      <c r="B28" s="239"/>
      <c r="C28" s="159"/>
      <c r="D28" s="160"/>
      <c r="E28" s="160"/>
      <c r="F28" s="160"/>
      <c r="G28" s="160"/>
      <c r="H28" s="161"/>
      <c r="I28" s="97" t="s">
        <v>113</v>
      </c>
      <c r="J28" s="165"/>
      <c r="K28" s="166"/>
      <c r="L28" s="166"/>
      <c r="M28" s="166"/>
      <c r="N28" s="166"/>
      <c r="O28" s="166"/>
      <c r="P28" s="166"/>
      <c r="Q28" s="167"/>
    </row>
    <row r="29" spans="1:18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18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18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18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20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s="8" customFormat="1" ht="20" hidden="1" customHeight="1" x14ac:dyDescent="0.5">
      <c r="A91" s="20"/>
      <c r="B91" s="28"/>
      <c r="C91" s="22"/>
      <c r="D91" s="16"/>
      <c r="E91" s="22"/>
      <c r="F91" s="22"/>
      <c r="G91" s="22"/>
      <c r="H91" s="22"/>
      <c r="I91" s="22"/>
      <c r="J91" s="22"/>
      <c r="K91" s="22"/>
      <c r="L91" s="29"/>
      <c r="M91" s="7"/>
      <c r="N91" s="14"/>
      <c r="O91" s="40"/>
      <c r="P91" s="9"/>
      <c r="Q91" s="7"/>
    </row>
    <row r="92" spans="1:17" s="8" customFormat="1" ht="20" hidden="1" customHeight="1" x14ac:dyDescent="0.5">
      <c r="A92" s="20"/>
      <c r="B92" s="28"/>
      <c r="C92" s="22"/>
      <c r="D92" s="16"/>
      <c r="E92" s="22"/>
      <c r="F92" s="22"/>
      <c r="G92" s="22"/>
      <c r="H92" s="22"/>
      <c r="I92" s="22"/>
      <c r="J92" s="22"/>
      <c r="K92" s="22"/>
      <c r="L92" s="29"/>
      <c r="M92" s="7"/>
      <c r="N92" s="14"/>
      <c r="O92" s="40"/>
      <c r="P92" s="9"/>
      <c r="Q92" s="7"/>
    </row>
    <row r="93" spans="1:17" ht="22.9" hidden="1" customHeight="1" x14ac:dyDescent="0.5"/>
    <row r="94" spans="1:17" ht="22.9" hidden="1" customHeight="1" x14ac:dyDescent="0.5"/>
    <row r="95" spans="1:17" ht="22.9" hidden="1" customHeight="1" x14ac:dyDescent="0.5"/>
    <row r="96" spans="1:17" ht="22.9" hidden="1" customHeight="1" x14ac:dyDescent="0.5"/>
    <row r="97" ht="22.9" hidden="1" customHeight="1" x14ac:dyDescent="0.5"/>
  </sheetData>
  <sheetProtection sheet="1" objects="1" scenarios="1"/>
  <dataConsolidate/>
  <mergeCells count="60"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O9:P9"/>
    <mergeCell ref="I3:I4"/>
    <mergeCell ref="J3:K3"/>
    <mergeCell ref="L3:L4"/>
    <mergeCell ref="N3:N4"/>
    <mergeCell ref="O3:P4"/>
    <mergeCell ref="B5:D5"/>
    <mergeCell ref="G5:H5"/>
    <mergeCell ref="I5:K5"/>
    <mergeCell ref="O5:P5"/>
    <mergeCell ref="O8:P8"/>
    <mergeCell ref="O18:P18"/>
    <mergeCell ref="O19:P19"/>
    <mergeCell ref="O10:P10"/>
    <mergeCell ref="O12:P12"/>
    <mergeCell ref="O13:P13"/>
    <mergeCell ref="O14:P14"/>
    <mergeCell ref="O15:P15"/>
    <mergeCell ref="O16:P16"/>
    <mergeCell ref="O11:P11"/>
    <mergeCell ref="B20:C20"/>
    <mergeCell ref="E20:F20"/>
    <mergeCell ref="H20:I20"/>
    <mergeCell ref="L20:P20"/>
    <mergeCell ref="B21:C21"/>
    <mergeCell ref="E21:F21"/>
    <mergeCell ref="H21:I21"/>
    <mergeCell ref="N21:P21"/>
    <mergeCell ref="H22:I22"/>
    <mergeCell ref="N22:P22"/>
    <mergeCell ref="B23:C23"/>
    <mergeCell ref="E23:F23"/>
    <mergeCell ref="L23:P23"/>
    <mergeCell ref="B27:B28"/>
    <mergeCell ref="C27:H28"/>
    <mergeCell ref="J27:Q27"/>
    <mergeCell ref="J28:Q28"/>
    <mergeCell ref="O6:P6"/>
    <mergeCell ref="O7:P7"/>
    <mergeCell ref="O17:P17"/>
    <mergeCell ref="B24:B26"/>
    <mergeCell ref="E24:F24"/>
    <mergeCell ref="N24:P24"/>
    <mergeCell ref="E25:F25"/>
    <mergeCell ref="N25:P25"/>
    <mergeCell ref="E26:F26"/>
    <mergeCell ref="N26:P26"/>
    <mergeCell ref="B22:C22"/>
    <mergeCell ref="E22:F22"/>
  </mergeCells>
  <phoneticPr fontId="1" type="noConversion"/>
  <conditionalFormatting sqref="N30:O30">
    <cfRule type="cellIs" dxfId="589" priority="295" operator="equal">
      <formula>"×"</formula>
    </cfRule>
    <cfRule type="cellIs" dxfId="588" priority="296" operator="equal">
      <formula>"√"</formula>
    </cfRule>
  </conditionalFormatting>
  <conditionalFormatting sqref="L30 L9:L19">
    <cfRule type="cellIs" dxfId="587" priority="293" operator="equal">
      <formula>"未完成"</formula>
    </cfRule>
    <cfRule type="cellIs" dxfId="586" priority="294" operator="equal">
      <formula>"已完成"</formula>
    </cfRule>
  </conditionalFormatting>
  <conditionalFormatting sqref="N9:N19">
    <cfRule type="cellIs" dxfId="585" priority="291" operator="equal">
      <formula>"×"</formula>
    </cfRule>
    <cfRule type="cellIs" dxfId="584" priority="292" operator="equal">
      <formula>"√"</formula>
    </cfRule>
  </conditionalFormatting>
  <conditionalFormatting sqref="D21:D22 N21:N22">
    <cfRule type="cellIs" dxfId="583" priority="287" operator="equal">
      <formula>"×"</formula>
    </cfRule>
    <cfRule type="cellIs" dxfId="582" priority="288" operator="equal">
      <formula>"√"</formula>
    </cfRule>
  </conditionalFormatting>
  <conditionalFormatting sqref="L21:L22">
    <cfRule type="cellIs" dxfId="581" priority="285" operator="equal">
      <formula>"未完成"</formula>
    </cfRule>
    <cfRule type="cellIs" dxfId="580" priority="286" operator="equal">
      <formula>"已完成"</formula>
    </cfRule>
  </conditionalFormatting>
  <conditionalFormatting sqref="L20">
    <cfRule type="cellIs" dxfId="579" priority="281" operator="equal">
      <formula>"未完成"</formula>
    </cfRule>
    <cfRule type="cellIs" dxfId="578" priority="282" operator="equal">
      <formula>"已完成"</formula>
    </cfRule>
  </conditionalFormatting>
  <conditionalFormatting sqref="D20">
    <cfRule type="cellIs" dxfId="577" priority="283" operator="equal">
      <formula>"×"</formula>
    </cfRule>
    <cfRule type="cellIs" dxfId="576" priority="284" operator="equal">
      <formula>"√"</formula>
    </cfRule>
  </conditionalFormatting>
  <conditionalFormatting sqref="I9:I19">
    <cfRule type="cellIs" dxfId="575" priority="279" operator="equal">
      <formula>"×"</formula>
    </cfRule>
    <cfRule type="cellIs" dxfId="574" priority="280" operator="equal">
      <formula>"√"</formula>
    </cfRule>
  </conditionalFormatting>
  <conditionalFormatting sqref="O9:O19">
    <cfRule type="cellIs" dxfId="573" priority="277" operator="equal">
      <formula>"×"</formula>
    </cfRule>
    <cfRule type="cellIs" dxfId="572" priority="278" operator="equal">
      <formula>"√"</formula>
    </cfRule>
  </conditionalFormatting>
  <conditionalFormatting sqref="N5:O5">
    <cfRule type="cellIs" dxfId="571" priority="275" operator="equal">
      <formula>"×"</formula>
    </cfRule>
    <cfRule type="cellIs" dxfId="570" priority="276" operator="equal">
      <formula>"√"</formula>
    </cfRule>
  </conditionalFormatting>
  <conditionalFormatting sqref="L5">
    <cfRule type="cellIs" dxfId="569" priority="273" operator="equal">
      <formula>"未完成"</formula>
    </cfRule>
    <cfRule type="cellIs" dxfId="568" priority="274" operator="equal">
      <formula>"已完成"</formula>
    </cfRule>
  </conditionalFormatting>
  <conditionalFormatting sqref="N6:N8">
    <cfRule type="cellIs" dxfId="567" priority="271" operator="equal">
      <formula>"×"</formula>
    </cfRule>
    <cfRule type="cellIs" dxfId="566" priority="272" operator="equal">
      <formula>"√"</formula>
    </cfRule>
  </conditionalFormatting>
  <conditionalFormatting sqref="L6:L8">
    <cfRule type="cellIs" dxfId="565" priority="269" operator="equal">
      <formula>"未完成"</formula>
    </cfRule>
    <cfRule type="cellIs" dxfId="564" priority="270" operator="equal">
      <formula>"已完成"</formula>
    </cfRule>
  </conditionalFormatting>
  <conditionalFormatting sqref="I6:I8">
    <cfRule type="cellIs" dxfId="563" priority="267" operator="equal">
      <formula>"×"</formula>
    </cfRule>
    <cfRule type="cellIs" dxfId="562" priority="268" operator="equal">
      <formula>"√"</formula>
    </cfRule>
  </conditionalFormatting>
  <conditionalFormatting sqref="O6:O8">
    <cfRule type="cellIs" dxfId="561" priority="265" operator="equal">
      <formula>"×"</formula>
    </cfRule>
    <cfRule type="cellIs" dxfId="560" priority="266" operator="equal">
      <formula>"√"</formula>
    </cfRule>
  </conditionalFormatting>
  <conditionalFormatting sqref="N31:O31">
    <cfRule type="cellIs" dxfId="559" priority="263" operator="equal">
      <formula>"×"</formula>
    </cfRule>
    <cfRule type="cellIs" dxfId="558" priority="264" operator="equal">
      <formula>"√"</formula>
    </cfRule>
  </conditionalFormatting>
  <conditionalFormatting sqref="L31">
    <cfRule type="cellIs" dxfId="557" priority="261" operator="equal">
      <formula>"未完成"</formula>
    </cfRule>
    <cfRule type="cellIs" dxfId="556" priority="262" operator="equal">
      <formula>"已完成"</formula>
    </cfRule>
  </conditionalFormatting>
  <conditionalFormatting sqref="N32:O32">
    <cfRule type="cellIs" dxfId="555" priority="259" operator="equal">
      <formula>"×"</formula>
    </cfRule>
    <cfRule type="cellIs" dxfId="554" priority="260" operator="equal">
      <formula>"√"</formula>
    </cfRule>
  </conditionalFormatting>
  <conditionalFormatting sqref="L32">
    <cfRule type="cellIs" dxfId="553" priority="257" operator="equal">
      <formula>"未完成"</formula>
    </cfRule>
    <cfRule type="cellIs" dxfId="552" priority="258" operator="equal">
      <formula>"已完成"</formula>
    </cfRule>
  </conditionalFormatting>
  <conditionalFormatting sqref="N33:O33">
    <cfRule type="cellIs" dxfId="551" priority="255" operator="equal">
      <formula>"×"</formula>
    </cfRule>
    <cfRule type="cellIs" dxfId="550" priority="256" operator="equal">
      <formula>"√"</formula>
    </cfRule>
  </conditionalFormatting>
  <conditionalFormatting sqref="L33">
    <cfRule type="cellIs" dxfId="549" priority="253" operator="equal">
      <formula>"未完成"</formula>
    </cfRule>
    <cfRule type="cellIs" dxfId="548" priority="254" operator="equal">
      <formula>"已完成"</formula>
    </cfRule>
  </conditionalFormatting>
  <conditionalFormatting sqref="N34:O34">
    <cfRule type="cellIs" dxfId="547" priority="251" operator="equal">
      <formula>"×"</formula>
    </cfRule>
    <cfRule type="cellIs" dxfId="546" priority="252" operator="equal">
      <formula>"√"</formula>
    </cfRule>
  </conditionalFormatting>
  <conditionalFormatting sqref="L34">
    <cfRule type="cellIs" dxfId="545" priority="249" operator="equal">
      <formula>"未完成"</formula>
    </cfRule>
    <cfRule type="cellIs" dxfId="544" priority="250" operator="equal">
      <formula>"已完成"</formula>
    </cfRule>
  </conditionalFormatting>
  <conditionalFormatting sqref="N35:O35">
    <cfRule type="cellIs" dxfId="543" priority="247" operator="equal">
      <formula>"×"</formula>
    </cfRule>
    <cfRule type="cellIs" dxfId="542" priority="248" operator="equal">
      <formula>"√"</formula>
    </cfRule>
  </conditionalFormatting>
  <conditionalFormatting sqref="L35">
    <cfRule type="cellIs" dxfId="541" priority="245" operator="equal">
      <formula>"未完成"</formula>
    </cfRule>
    <cfRule type="cellIs" dxfId="540" priority="246" operator="equal">
      <formula>"已完成"</formula>
    </cfRule>
  </conditionalFormatting>
  <conditionalFormatting sqref="N36:O36">
    <cfRule type="cellIs" dxfId="539" priority="243" operator="equal">
      <formula>"×"</formula>
    </cfRule>
    <cfRule type="cellIs" dxfId="538" priority="244" operator="equal">
      <formula>"√"</formula>
    </cfRule>
  </conditionalFormatting>
  <conditionalFormatting sqref="L36">
    <cfRule type="cellIs" dxfId="537" priority="241" operator="equal">
      <formula>"未完成"</formula>
    </cfRule>
    <cfRule type="cellIs" dxfId="536" priority="242" operator="equal">
      <formula>"已完成"</formula>
    </cfRule>
  </conditionalFormatting>
  <conditionalFormatting sqref="N37:O37">
    <cfRule type="cellIs" dxfId="535" priority="239" operator="equal">
      <formula>"×"</formula>
    </cfRule>
    <cfRule type="cellIs" dxfId="534" priority="240" operator="equal">
      <formula>"√"</formula>
    </cfRule>
  </conditionalFormatting>
  <conditionalFormatting sqref="L37">
    <cfRule type="cellIs" dxfId="533" priority="237" operator="equal">
      <formula>"未完成"</formula>
    </cfRule>
    <cfRule type="cellIs" dxfId="532" priority="238" operator="equal">
      <formula>"已完成"</formula>
    </cfRule>
  </conditionalFormatting>
  <conditionalFormatting sqref="N38:O38">
    <cfRule type="cellIs" dxfId="531" priority="235" operator="equal">
      <formula>"×"</formula>
    </cfRule>
    <cfRule type="cellIs" dxfId="530" priority="236" operator="equal">
      <formula>"√"</formula>
    </cfRule>
  </conditionalFormatting>
  <conditionalFormatting sqref="L38">
    <cfRule type="cellIs" dxfId="529" priority="233" operator="equal">
      <formula>"未完成"</formula>
    </cfRule>
    <cfRule type="cellIs" dxfId="528" priority="234" operator="equal">
      <formula>"已完成"</formula>
    </cfRule>
  </conditionalFormatting>
  <conditionalFormatting sqref="N39:O39">
    <cfRule type="cellIs" dxfId="527" priority="231" operator="equal">
      <formula>"×"</formula>
    </cfRule>
    <cfRule type="cellIs" dxfId="526" priority="232" operator="equal">
      <formula>"√"</formula>
    </cfRule>
  </conditionalFormatting>
  <conditionalFormatting sqref="L39">
    <cfRule type="cellIs" dxfId="525" priority="229" operator="equal">
      <formula>"未完成"</formula>
    </cfRule>
    <cfRule type="cellIs" dxfId="524" priority="230" operator="equal">
      <formula>"已完成"</formula>
    </cfRule>
  </conditionalFormatting>
  <conditionalFormatting sqref="N40:O40">
    <cfRule type="cellIs" dxfId="523" priority="227" operator="equal">
      <formula>"×"</formula>
    </cfRule>
    <cfRule type="cellIs" dxfId="522" priority="228" operator="equal">
      <formula>"√"</formula>
    </cfRule>
  </conditionalFormatting>
  <conditionalFormatting sqref="L40">
    <cfRule type="cellIs" dxfId="521" priority="225" operator="equal">
      <formula>"未完成"</formula>
    </cfRule>
    <cfRule type="cellIs" dxfId="520" priority="226" operator="equal">
      <formula>"已完成"</formula>
    </cfRule>
  </conditionalFormatting>
  <conditionalFormatting sqref="N41:O41">
    <cfRule type="cellIs" dxfId="519" priority="223" operator="equal">
      <formula>"×"</formula>
    </cfRule>
    <cfRule type="cellIs" dxfId="518" priority="224" operator="equal">
      <formula>"√"</formula>
    </cfRule>
  </conditionalFormatting>
  <conditionalFormatting sqref="L41">
    <cfRule type="cellIs" dxfId="517" priority="221" operator="equal">
      <formula>"未完成"</formula>
    </cfRule>
    <cfRule type="cellIs" dxfId="516" priority="222" operator="equal">
      <formula>"已完成"</formula>
    </cfRule>
  </conditionalFormatting>
  <conditionalFormatting sqref="N42:O42">
    <cfRule type="cellIs" dxfId="515" priority="219" operator="equal">
      <formula>"×"</formula>
    </cfRule>
    <cfRule type="cellIs" dxfId="514" priority="220" operator="equal">
      <formula>"√"</formula>
    </cfRule>
  </conditionalFormatting>
  <conditionalFormatting sqref="L42">
    <cfRule type="cellIs" dxfId="513" priority="217" operator="equal">
      <formula>"未完成"</formula>
    </cfRule>
    <cfRule type="cellIs" dxfId="512" priority="218" operator="equal">
      <formula>"已完成"</formula>
    </cfRule>
  </conditionalFormatting>
  <conditionalFormatting sqref="N43:O43">
    <cfRule type="cellIs" dxfId="511" priority="215" operator="equal">
      <formula>"×"</formula>
    </cfRule>
    <cfRule type="cellIs" dxfId="510" priority="216" operator="equal">
      <formula>"√"</formula>
    </cfRule>
  </conditionalFormatting>
  <conditionalFormatting sqref="L43">
    <cfRule type="cellIs" dxfId="509" priority="213" operator="equal">
      <formula>"未完成"</formula>
    </cfRule>
    <cfRule type="cellIs" dxfId="508" priority="214" operator="equal">
      <formula>"已完成"</formula>
    </cfRule>
  </conditionalFormatting>
  <conditionalFormatting sqref="N44:O44">
    <cfRule type="cellIs" dxfId="507" priority="211" operator="equal">
      <formula>"×"</formula>
    </cfRule>
    <cfRule type="cellIs" dxfId="506" priority="212" operator="equal">
      <formula>"√"</formula>
    </cfRule>
  </conditionalFormatting>
  <conditionalFormatting sqref="L44">
    <cfRule type="cellIs" dxfId="505" priority="209" operator="equal">
      <formula>"未完成"</formula>
    </cfRule>
    <cfRule type="cellIs" dxfId="504" priority="210" operator="equal">
      <formula>"已完成"</formula>
    </cfRule>
  </conditionalFormatting>
  <conditionalFormatting sqref="N45:O45">
    <cfRule type="cellIs" dxfId="503" priority="207" operator="equal">
      <formula>"×"</formula>
    </cfRule>
    <cfRule type="cellIs" dxfId="502" priority="208" operator="equal">
      <formula>"√"</formula>
    </cfRule>
  </conditionalFormatting>
  <conditionalFormatting sqref="L45">
    <cfRule type="cellIs" dxfId="501" priority="205" operator="equal">
      <formula>"未完成"</formula>
    </cfRule>
    <cfRule type="cellIs" dxfId="500" priority="206" operator="equal">
      <formula>"已完成"</formula>
    </cfRule>
  </conditionalFormatting>
  <conditionalFormatting sqref="N46:O46">
    <cfRule type="cellIs" dxfId="499" priority="203" operator="equal">
      <formula>"×"</formula>
    </cfRule>
    <cfRule type="cellIs" dxfId="498" priority="204" operator="equal">
      <formula>"√"</formula>
    </cfRule>
  </conditionalFormatting>
  <conditionalFormatting sqref="L46">
    <cfRule type="cellIs" dxfId="497" priority="201" operator="equal">
      <formula>"未完成"</formula>
    </cfRule>
    <cfRule type="cellIs" dxfId="496" priority="202" operator="equal">
      <formula>"已完成"</formula>
    </cfRule>
  </conditionalFormatting>
  <conditionalFormatting sqref="N47:O47">
    <cfRule type="cellIs" dxfId="495" priority="199" operator="equal">
      <formula>"×"</formula>
    </cfRule>
    <cfRule type="cellIs" dxfId="494" priority="200" operator="equal">
      <formula>"√"</formula>
    </cfRule>
  </conditionalFormatting>
  <conditionalFormatting sqref="L47">
    <cfRule type="cellIs" dxfId="493" priority="197" operator="equal">
      <formula>"未完成"</formula>
    </cfRule>
    <cfRule type="cellIs" dxfId="492" priority="198" operator="equal">
      <formula>"已完成"</formula>
    </cfRule>
  </conditionalFormatting>
  <conditionalFormatting sqref="N48:O48">
    <cfRule type="cellIs" dxfId="491" priority="195" operator="equal">
      <formula>"×"</formula>
    </cfRule>
    <cfRule type="cellIs" dxfId="490" priority="196" operator="equal">
      <formula>"√"</formula>
    </cfRule>
  </conditionalFormatting>
  <conditionalFormatting sqref="L48">
    <cfRule type="cellIs" dxfId="489" priority="193" operator="equal">
      <formula>"未完成"</formula>
    </cfRule>
    <cfRule type="cellIs" dxfId="488" priority="194" operator="equal">
      <formula>"已完成"</formula>
    </cfRule>
  </conditionalFormatting>
  <conditionalFormatting sqref="N49:O49">
    <cfRule type="cellIs" dxfId="487" priority="191" operator="equal">
      <formula>"×"</formula>
    </cfRule>
    <cfRule type="cellIs" dxfId="486" priority="192" operator="equal">
      <formula>"√"</formula>
    </cfRule>
  </conditionalFormatting>
  <conditionalFormatting sqref="L49">
    <cfRule type="cellIs" dxfId="485" priority="189" operator="equal">
      <formula>"未完成"</formula>
    </cfRule>
    <cfRule type="cellIs" dxfId="484" priority="190" operator="equal">
      <formula>"已完成"</formula>
    </cfRule>
  </conditionalFormatting>
  <conditionalFormatting sqref="N50:O50">
    <cfRule type="cellIs" dxfId="483" priority="187" operator="equal">
      <formula>"×"</formula>
    </cfRule>
    <cfRule type="cellIs" dxfId="482" priority="188" operator="equal">
      <formula>"√"</formula>
    </cfRule>
  </conditionalFormatting>
  <conditionalFormatting sqref="L50">
    <cfRule type="cellIs" dxfId="481" priority="185" operator="equal">
      <formula>"未完成"</formula>
    </cfRule>
    <cfRule type="cellIs" dxfId="480" priority="186" operator="equal">
      <formula>"已完成"</formula>
    </cfRule>
  </conditionalFormatting>
  <conditionalFormatting sqref="N51:O51">
    <cfRule type="cellIs" dxfId="479" priority="183" operator="equal">
      <formula>"×"</formula>
    </cfRule>
    <cfRule type="cellIs" dxfId="478" priority="184" operator="equal">
      <formula>"√"</formula>
    </cfRule>
  </conditionalFormatting>
  <conditionalFormatting sqref="L51">
    <cfRule type="cellIs" dxfId="477" priority="181" operator="equal">
      <formula>"未完成"</formula>
    </cfRule>
    <cfRule type="cellIs" dxfId="476" priority="182" operator="equal">
      <formula>"已完成"</formula>
    </cfRule>
  </conditionalFormatting>
  <conditionalFormatting sqref="N52:O52">
    <cfRule type="cellIs" dxfId="475" priority="179" operator="equal">
      <formula>"×"</formula>
    </cfRule>
    <cfRule type="cellIs" dxfId="474" priority="180" operator="equal">
      <formula>"√"</formula>
    </cfRule>
  </conditionalFormatting>
  <conditionalFormatting sqref="L52">
    <cfRule type="cellIs" dxfId="473" priority="177" operator="equal">
      <formula>"未完成"</formula>
    </cfRule>
    <cfRule type="cellIs" dxfId="472" priority="178" operator="equal">
      <formula>"已完成"</formula>
    </cfRule>
  </conditionalFormatting>
  <conditionalFormatting sqref="N53:O53">
    <cfRule type="cellIs" dxfId="471" priority="175" operator="equal">
      <formula>"×"</formula>
    </cfRule>
    <cfRule type="cellIs" dxfId="470" priority="176" operator="equal">
      <formula>"√"</formula>
    </cfRule>
  </conditionalFormatting>
  <conditionalFormatting sqref="L53">
    <cfRule type="cellIs" dxfId="469" priority="173" operator="equal">
      <formula>"未完成"</formula>
    </cfRule>
    <cfRule type="cellIs" dxfId="468" priority="174" operator="equal">
      <formula>"已完成"</formula>
    </cfRule>
  </conditionalFormatting>
  <conditionalFormatting sqref="N54:O54">
    <cfRule type="cellIs" dxfId="467" priority="171" operator="equal">
      <formula>"×"</formula>
    </cfRule>
    <cfRule type="cellIs" dxfId="466" priority="172" operator="equal">
      <formula>"√"</formula>
    </cfRule>
  </conditionalFormatting>
  <conditionalFormatting sqref="L54">
    <cfRule type="cellIs" dxfId="465" priority="169" operator="equal">
      <formula>"未完成"</formula>
    </cfRule>
    <cfRule type="cellIs" dxfId="464" priority="170" operator="equal">
      <formula>"已完成"</formula>
    </cfRule>
  </conditionalFormatting>
  <conditionalFormatting sqref="N55:O55">
    <cfRule type="cellIs" dxfId="463" priority="167" operator="equal">
      <formula>"×"</formula>
    </cfRule>
    <cfRule type="cellIs" dxfId="462" priority="168" operator="equal">
      <formula>"√"</formula>
    </cfRule>
  </conditionalFormatting>
  <conditionalFormatting sqref="L55">
    <cfRule type="cellIs" dxfId="461" priority="165" operator="equal">
      <formula>"未完成"</formula>
    </cfRule>
    <cfRule type="cellIs" dxfId="460" priority="166" operator="equal">
      <formula>"已完成"</formula>
    </cfRule>
  </conditionalFormatting>
  <conditionalFormatting sqref="N56:O56">
    <cfRule type="cellIs" dxfId="459" priority="163" operator="equal">
      <formula>"×"</formula>
    </cfRule>
    <cfRule type="cellIs" dxfId="458" priority="164" operator="equal">
      <formula>"√"</formula>
    </cfRule>
  </conditionalFormatting>
  <conditionalFormatting sqref="L56">
    <cfRule type="cellIs" dxfId="457" priority="161" operator="equal">
      <formula>"未完成"</formula>
    </cfRule>
    <cfRule type="cellIs" dxfId="456" priority="162" operator="equal">
      <formula>"已完成"</formula>
    </cfRule>
  </conditionalFormatting>
  <conditionalFormatting sqref="N57:O57">
    <cfRule type="cellIs" dxfId="455" priority="159" operator="equal">
      <formula>"×"</formula>
    </cfRule>
    <cfRule type="cellIs" dxfId="454" priority="160" operator="equal">
      <formula>"√"</formula>
    </cfRule>
  </conditionalFormatting>
  <conditionalFormatting sqref="L57">
    <cfRule type="cellIs" dxfId="453" priority="157" operator="equal">
      <formula>"未完成"</formula>
    </cfRule>
    <cfRule type="cellIs" dxfId="452" priority="158" operator="equal">
      <formula>"已完成"</formula>
    </cfRule>
  </conditionalFormatting>
  <conditionalFormatting sqref="N58:O58">
    <cfRule type="cellIs" dxfId="451" priority="155" operator="equal">
      <formula>"×"</formula>
    </cfRule>
    <cfRule type="cellIs" dxfId="450" priority="156" operator="equal">
      <formula>"√"</formula>
    </cfRule>
  </conditionalFormatting>
  <conditionalFormatting sqref="L58">
    <cfRule type="cellIs" dxfId="449" priority="153" operator="equal">
      <formula>"未完成"</formula>
    </cfRule>
    <cfRule type="cellIs" dxfId="448" priority="154" operator="equal">
      <formula>"已完成"</formula>
    </cfRule>
  </conditionalFormatting>
  <conditionalFormatting sqref="N59:O59">
    <cfRule type="cellIs" dxfId="447" priority="151" operator="equal">
      <formula>"×"</formula>
    </cfRule>
    <cfRule type="cellIs" dxfId="446" priority="152" operator="equal">
      <formula>"√"</formula>
    </cfRule>
  </conditionalFormatting>
  <conditionalFormatting sqref="L59">
    <cfRule type="cellIs" dxfId="445" priority="149" operator="equal">
      <formula>"未完成"</formula>
    </cfRule>
    <cfRule type="cellIs" dxfId="444" priority="150" operator="equal">
      <formula>"已完成"</formula>
    </cfRule>
  </conditionalFormatting>
  <conditionalFormatting sqref="N60:O60">
    <cfRule type="cellIs" dxfId="443" priority="147" operator="equal">
      <formula>"×"</formula>
    </cfRule>
    <cfRule type="cellIs" dxfId="442" priority="148" operator="equal">
      <formula>"√"</formula>
    </cfRule>
  </conditionalFormatting>
  <conditionalFormatting sqref="L60">
    <cfRule type="cellIs" dxfId="441" priority="145" operator="equal">
      <formula>"未完成"</formula>
    </cfRule>
    <cfRule type="cellIs" dxfId="440" priority="146" operator="equal">
      <formula>"已完成"</formula>
    </cfRule>
  </conditionalFormatting>
  <conditionalFormatting sqref="N61:O61">
    <cfRule type="cellIs" dxfId="439" priority="143" operator="equal">
      <formula>"×"</formula>
    </cfRule>
    <cfRule type="cellIs" dxfId="438" priority="144" operator="equal">
      <formula>"√"</formula>
    </cfRule>
  </conditionalFormatting>
  <conditionalFormatting sqref="L61">
    <cfRule type="cellIs" dxfId="437" priority="141" operator="equal">
      <formula>"未完成"</formula>
    </cfRule>
    <cfRule type="cellIs" dxfId="436" priority="142" operator="equal">
      <formula>"已完成"</formula>
    </cfRule>
  </conditionalFormatting>
  <conditionalFormatting sqref="N62:O62">
    <cfRule type="cellIs" dxfId="435" priority="139" operator="equal">
      <formula>"×"</formula>
    </cfRule>
    <cfRule type="cellIs" dxfId="434" priority="140" operator="equal">
      <formula>"√"</formula>
    </cfRule>
  </conditionalFormatting>
  <conditionalFormatting sqref="L62">
    <cfRule type="cellIs" dxfId="433" priority="137" operator="equal">
      <formula>"未完成"</formula>
    </cfRule>
    <cfRule type="cellIs" dxfId="432" priority="138" operator="equal">
      <formula>"已完成"</formula>
    </cfRule>
  </conditionalFormatting>
  <conditionalFormatting sqref="N63:O63">
    <cfRule type="cellIs" dxfId="431" priority="135" operator="equal">
      <formula>"×"</formula>
    </cfRule>
    <cfRule type="cellIs" dxfId="430" priority="136" operator="equal">
      <formula>"√"</formula>
    </cfRule>
  </conditionalFormatting>
  <conditionalFormatting sqref="L63">
    <cfRule type="cellIs" dxfId="429" priority="133" operator="equal">
      <formula>"未完成"</formula>
    </cfRule>
    <cfRule type="cellIs" dxfId="428" priority="134" operator="equal">
      <formula>"已完成"</formula>
    </cfRule>
  </conditionalFormatting>
  <conditionalFormatting sqref="N64:O64">
    <cfRule type="cellIs" dxfId="427" priority="131" operator="equal">
      <formula>"×"</formula>
    </cfRule>
    <cfRule type="cellIs" dxfId="426" priority="132" operator="equal">
      <formula>"√"</formula>
    </cfRule>
  </conditionalFormatting>
  <conditionalFormatting sqref="L64">
    <cfRule type="cellIs" dxfId="425" priority="129" operator="equal">
      <formula>"未完成"</formula>
    </cfRule>
    <cfRule type="cellIs" dxfId="424" priority="130" operator="equal">
      <formula>"已完成"</formula>
    </cfRule>
  </conditionalFormatting>
  <conditionalFormatting sqref="N65:O65">
    <cfRule type="cellIs" dxfId="423" priority="127" operator="equal">
      <formula>"×"</formula>
    </cfRule>
    <cfRule type="cellIs" dxfId="422" priority="128" operator="equal">
      <formula>"√"</formula>
    </cfRule>
  </conditionalFormatting>
  <conditionalFormatting sqref="L65">
    <cfRule type="cellIs" dxfId="421" priority="125" operator="equal">
      <formula>"未完成"</formula>
    </cfRule>
    <cfRule type="cellIs" dxfId="420" priority="126" operator="equal">
      <formula>"已完成"</formula>
    </cfRule>
  </conditionalFormatting>
  <conditionalFormatting sqref="N66:O66">
    <cfRule type="cellIs" dxfId="419" priority="123" operator="equal">
      <formula>"×"</formula>
    </cfRule>
    <cfRule type="cellIs" dxfId="418" priority="124" operator="equal">
      <formula>"√"</formula>
    </cfRule>
  </conditionalFormatting>
  <conditionalFormatting sqref="L66">
    <cfRule type="cellIs" dxfId="417" priority="121" operator="equal">
      <formula>"未完成"</formula>
    </cfRule>
    <cfRule type="cellIs" dxfId="416" priority="122" operator="equal">
      <formula>"已完成"</formula>
    </cfRule>
  </conditionalFormatting>
  <conditionalFormatting sqref="N67:O67">
    <cfRule type="cellIs" dxfId="415" priority="119" operator="equal">
      <formula>"×"</formula>
    </cfRule>
    <cfRule type="cellIs" dxfId="414" priority="120" operator="equal">
      <formula>"√"</formula>
    </cfRule>
  </conditionalFormatting>
  <conditionalFormatting sqref="L67">
    <cfRule type="cellIs" dxfId="413" priority="117" operator="equal">
      <formula>"未完成"</formula>
    </cfRule>
    <cfRule type="cellIs" dxfId="412" priority="118" operator="equal">
      <formula>"已完成"</formula>
    </cfRule>
  </conditionalFormatting>
  <conditionalFormatting sqref="N68:O68">
    <cfRule type="cellIs" dxfId="411" priority="115" operator="equal">
      <formula>"×"</formula>
    </cfRule>
    <cfRule type="cellIs" dxfId="410" priority="116" operator="equal">
      <formula>"√"</formula>
    </cfRule>
  </conditionalFormatting>
  <conditionalFormatting sqref="L68">
    <cfRule type="cellIs" dxfId="409" priority="113" operator="equal">
      <formula>"未完成"</formula>
    </cfRule>
    <cfRule type="cellIs" dxfId="408" priority="114" operator="equal">
      <formula>"已完成"</formula>
    </cfRule>
  </conditionalFormatting>
  <conditionalFormatting sqref="N69:O69">
    <cfRule type="cellIs" dxfId="407" priority="111" operator="equal">
      <formula>"×"</formula>
    </cfRule>
    <cfRule type="cellIs" dxfId="406" priority="112" operator="equal">
      <formula>"√"</formula>
    </cfRule>
  </conditionalFormatting>
  <conditionalFormatting sqref="L69">
    <cfRule type="cellIs" dxfId="405" priority="109" operator="equal">
      <formula>"未完成"</formula>
    </cfRule>
    <cfRule type="cellIs" dxfId="404" priority="110" operator="equal">
      <formula>"已完成"</formula>
    </cfRule>
  </conditionalFormatting>
  <conditionalFormatting sqref="N70:O70">
    <cfRule type="cellIs" dxfId="403" priority="107" operator="equal">
      <formula>"×"</formula>
    </cfRule>
    <cfRule type="cellIs" dxfId="402" priority="108" operator="equal">
      <formula>"√"</formula>
    </cfRule>
  </conditionalFormatting>
  <conditionalFormatting sqref="L70">
    <cfRule type="cellIs" dxfId="401" priority="105" operator="equal">
      <formula>"未完成"</formula>
    </cfRule>
    <cfRule type="cellIs" dxfId="400" priority="106" operator="equal">
      <formula>"已完成"</formula>
    </cfRule>
  </conditionalFormatting>
  <conditionalFormatting sqref="N71:O71">
    <cfRule type="cellIs" dxfId="399" priority="103" operator="equal">
      <formula>"×"</formula>
    </cfRule>
    <cfRule type="cellIs" dxfId="398" priority="104" operator="equal">
      <formula>"√"</formula>
    </cfRule>
  </conditionalFormatting>
  <conditionalFormatting sqref="L71">
    <cfRule type="cellIs" dxfId="397" priority="101" operator="equal">
      <formula>"未完成"</formula>
    </cfRule>
    <cfRule type="cellIs" dxfId="396" priority="102" operator="equal">
      <formula>"已完成"</formula>
    </cfRule>
  </conditionalFormatting>
  <conditionalFormatting sqref="N72:O72">
    <cfRule type="cellIs" dxfId="395" priority="99" operator="equal">
      <formula>"×"</formula>
    </cfRule>
    <cfRule type="cellIs" dxfId="394" priority="100" operator="equal">
      <formula>"√"</formula>
    </cfRule>
  </conditionalFormatting>
  <conditionalFormatting sqref="L72">
    <cfRule type="cellIs" dxfId="393" priority="97" operator="equal">
      <formula>"未完成"</formula>
    </cfRule>
    <cfRule type="cellIs" dxfId="392" priority="98" operator="equal">
      <formula>"已完成"</formula>
    </cfRule>
  </conditionalFormatting>
  <conditionalFormatting sqref="N73:O73">
    <cfRule type="cellIs" dxfId="391" priority="95" operator="equal">
      <formula>"×"</formula>
    </cfRule>
    <cfRule type="cellIs" dxfId="390" priority="96" operator="equal">
      <formula>"√"</formula>
    </cfRule>
  </conditionalFormatting>
  <conditionalFormatting sqref="L73">
    <cfRule type="cellIs" dxfId="389" priority="93" operator="equal">
      <formula>"未完成"</formula>
    </cfRule>
    <cfRule type="cellIs" dxfId="388" priority="94" operator="equal">
      <formula>"已完成"</formula>
    </cfRule>
  </conditionalFormatting>
  <conditionalFormatting sqref="N74:O74">
    <cfRule type="cellIs" dxfId="387" priority="91" operator="equal">
      <formula>"×"</formula>
    </cfRule>
    <cfRule type="cellIs" dxfId="386" priority="92" operator="equal">
      <formula>"√"</formula>
    </cfRule>
  </conditionalFormatting>
  <conditionalFormatting sqref="L74">
    <cfRule type="cellIs" dxfId="385" priority="89" operator="equal">
      <formula>"未完成"</formula>
    </cfRule>
    <cfRule type="cellIs" dxfId="384" priority="90" operator="equal">
      <formula>"已完成"</formula>
    </cfRule>
  </conditionalFormatting>
  <conditionalFormatting sqref="N75:O75">
    <cfRule type="cellIs" dxfId="383" priority="87" operator="equal">
      <formula>"×"</formula>
    </cfRule>
    <cfRule type="cellIs" dxfId="382" priority="88" operator="equal">
      <formula>"√"</formula>
    </cfRule>
  </conditionalFormatting>
  <conditionalFormatting sqref="L75">
    <cfRule type="cellIs" dxfId="381" priority="85" operator="equal">
      <formula>"未完成"</formula>
    </cfRule>
    <cfRule type="cellIs" dxfId="380" priority="86" operator="equal">
      <formula>"已完成"</formula>
    </cfRule>
  </conditionalFormatting>
  <conditionalFormatting sqref="N76:O76">
    <cfRule type="cellIs" dxfId="379" priority="83" operator="equal">
      <formula>"×"</formula>
    </cfRule>
    <cfRule type="cellIs" dxfId="378" priority="84" operator="equal">
      <formula>"√"</formula>
    </cfRule>
  </conditionalFormatting>
  <conditionalFormatting sqref="L76">
    <cfRule type="cellIs" dxfId="377" priority="81" operator="equal">
      <formula>"未完成"</formula>
    </cfRule>
    <cfRule type="cellIs" dxfId="376" priority="82" operator="equal">
      <formula>"已完成"</formula>
    </cfRule>
  </conditionalFormatting>
  <conditionalFormatting sqref="N77:O77">
    <cfRule type="cellIs" dxfId="375" priority="79" operator="equal">
      <formula>"×"</formula>
    </cfRule>
    <cfRule type="cellIs" dxfId="374" priority="80" operator="equal">
      <formula>"√"</formula>
    </cfRule>
  </conditionalFormatting>
  <conditionalFormatting sqref="L77">
    <cfRule type="cellIs" dxfId="373" priority="77" operator="equal">
      <formula>"未完成"</formula>
    </cfRule>
    <cfRule type="cellIs" dxfId="372" priority="78" operator="equal">
      <formula>"已完成"</formula>
    </cfRule>
  </conditionalFormatting>
  <conditionalFormatting sqref="N78:O78">
    <cfRule type="cellIs" dxfId="371" priority="75" operator="equal">
      <formula>"×"</formula>
    </cfRule>
    <cfRule type="cellIs" dxfId="370" priority="76" operator="equal">
      <formula>"√"</formula>
    </cfRule>
  </conditionalFormatting>
  <conditionalFormatting sqref="L78">
    <cfRule type="cellIs" dxfId="369" priority="73" operator="equal">
      <formula>"未完成"</formula>
    </cfRule>
    <cfRule type="cellIs" dxfId="368" priority="74" operator="equal">
      <formula>"已完成"</formula>
    </cfRule>
  </conditionalFormatting>
  <conditionalFormatting sqref="N79:O79">
    <cfRule type="cellIs" dxfId="367" priority="71" operator="equal">
      <formula>"×"</formula>
    </cfRule>
    <cfRule type="cellIs" dxfId="366" priority="72" operator="equal">
      <formula>"√"</formula>
    </cfRule>
  </conditionalFormatting>
  <conditionalFormatting sqref="L79">
    <cfRule type="cellIs" dxfId="365" priority="69" operator="equal">
      <formula>"未完成"</formula>
    </cfRule>
    <cfRule type="cellIs" dxfId="364" priority="70" operator="equal">
      <formula>"已完成"</formula>
    </cfRule>
  </conditionalFormatting>
  <conditionalFormatting sqref="N80:O80">
    <cfRule type="cellIs" dxfId="363" priority="67" operator="equal">
      <formula>"×"</formula>
    </cfRule>
    <cfRule type="cellIs" dxfId="362" priority="68" operator="equal">
      <formula>"√"</formula>
    </cfRule>
  </conditionalFormatting>
  <conditionalFormatting sqref="L80">
    <cfRule type="cellIs" dxfId="361" priority="65" operator="equal">
      <formula>"未完成"</formula>
    </cfRule>
    <cfRule type="cellIs" dxfId="360" priority="66" operator="equal">
      <formula>"已完成"</formula>
    </cfRule>
  </conditionalFormatting>
  <conditionalFormatting sqref="N81:O81">
    <cfRule type="cellIs" dxfId="359" priority="63" operator="equal">
      <formula>"×"</formula>
    </cfRule>
    <cfRule type="cellIs" dxfId="358" priority="64" operator="equal">
      <formula>"√"</formula>
    </cfRule>
  </conditionalFormatting>
  <conditionalFormatting sqref="L81">
    <cfRule type="cellIs" dxfId="357" priority="61" operator="equal">
      <formula>"未完成"</formula>
    </cfRule>
    <cfRule type="cellIs" dxfId="356" priority="62" operator="equal">
      <formula>"已完成"</formula>
    </cfRule>
  </conditionalFormatting>
  <conditionalFormatting sqref="N82:O82">
    <cfRule type="cellIs" dxfId="355" priority="59" operator="equal">
      <formula>"×"</formula>
    </cfRule>
    <cfRule type="cellIs" dxfId="354" priority="60" operator="equal">
      <formula>"√"</formula>
    </cfRule>
  </conditionalFormatting>
  <conditionalFormatting sqref="L82">
    <cfRule type="cellIs" dxfId="353" priority="57" operator="equal">
      <formula>"未完成"</formula>
    </cfRule>
    <cfRule type="cellIs" dxfId="352" priority="58" operator="equal">
      <formula>"已完成"</formula>
    </cfRule>
  </conditionalFormatting>
  <conditionalFormatting sqref="N83:O83">
    <cfRule type="cellIs" dxfId="351" priority="55" operator="equal">
      <formula>"×"</formula>
    </cfRule>
    <cfRule type="cellIs" dxfId="350" priority="56" operator="equal">
      <formula>"√"</formula>
    </cfRule>
  </conditionalFormatting>
  <conditionalFormatting sqref="L83">
    <cfRule type="cellIs" dxfId="349" priority="53" operator="equal">
      <formula>"未完成"</formula>
    </cfRule>
    <cfRule type="cellIs" dxfId="348" priority="54" operator="equal">
      <formula>"已完成"</formula>
    </cfRule>
  </conditionalFormatting>
  <conditionalFormatting sqref="N84:O84">
    <cfRule type="cellIs" dxfId="347" priority="51" operator="equal">
      <formula>"×"</formula>
    </cfRule>
    <cfRule type="cellIs" dxfId="346" priority="52" operator="equal">
      <formula>"√"</formula>
    </cfRule>
  </conditionalFormatting>
  <conditionalFormatting sqref="L84">
    <cfRule type="cellIs" dxfId="345" priority="49" operator="equal">
      <formula>"未完成"</formula>
    </cfRule>
    <cfRule type="cellIs" dxfId="344" priority="50" operator="equal">
      <formula>"已完成"</formula>
    </cfRule>
  </conditionalFormatting>
  <conditionalFormatting sqref="N85:O85">
    <cfRule type="cellIs" dxfId="343" priority="47" operator="equal">
      <formula>"×"</formula>
    </cfRule>
    <cfRule type="cellIs" dxfId="342" priority="48" operator="equal">
      <formula>"√"</formula>
    </cfRule>
  </conditionalFormatting>
  <conditionalFormatting sqref="L85">
    <cfRule type="cellIs" dxfId="341" priority="45" operator="equal">
      <formula>"未完成"</formula>
    </cfRule>
    <cfRule type="cellIs" dxfId="340" priority="46" operator="equal">
      <formula>"已完成"</formula>
    </cfRule>
  </conditionalFormatting>
  <conditionalFormatting sqref="N86:O86">
    <cfRule type="cellIs" dxfId="339" priority="43" operator="equal">
      <formula>"×"</formula>
    </cfRule>
    <cfRule type="cellIs" dxfId="338" priority="44" operator="equal">
      <formula>"√"</formula>
    </cfRule>
  </conditionalFormatting>
  <conditionalFormatting sqref="L86">
    <cfRule type="cellIs" dxfId="337" priority="41" operator="equal">
      <formula>"未完成"</formula>
    </cfRule>
    <cfRule type="cellIs" dxfId="336" priority="42" operator="equal">
      <formula>"已完成"</formula>
    </cfRule>
  </conditionalFormatting>
  <conditionalFormatting sqref="N87:O87">
    <cfRule type="cellIs" dxfId="335" priority="39" operator="equal">
      <formula>"×"</formula>
    </cfRule>
    <cfRule type="cellIs" dxfId="334" priority="40" operator="equal">
      <formula>"√"</formula>
    </cfRule>
  </conditionalFormatting>
  <conditionalFormatting sqref="L87">
    <cfRule type="cellIs" dxfId="333" priority="37" operator="equal">
      <formula>"未完成"</formula>
    </cfRule>
    <cfRule type="cellIs" dxfId="332" priority="38" operator="equal">
      <formula>"已完成"</formula>
    </cfRule>
  </conditionalFormatting>
  <conditionalFormatting sqref="N88:O88">
    <cfRule type="cellIs" dxfId="331" priority="35" operator="equal">
      <formula>"×"</formula>
    </cfRule>
    <cfRule type="cellIs" dxfId="330" priority="36" operator="equal">
      <formula>"√"</formula>
    </cfRule>
  </conditionalFormatting>
  <conditionalFormatting sqref="L88">
    <cfRule type="cellIs" dxfId="329" priority="33" operator="equal">
      <formula>"未完成"</formula>
    </cfRule>
    <cfRule type="cellIs" dxfId="328" priority="34" operator="equal">
      <formula>"已完成"</formula>
    </cfRule>
  </conditionalFormatting>
  <conditionalFormatting sqref="N89:O89">
    <cfRule type="cellIs" dxfId="327" priority="31" operator="equal">
      <formula>"×"</formula>
    </cfRule>
    <cfRule type="cellIs" dxfId="326" priority="32" operator="equal">
      <formula>"√"</formula>
    </cfRule>
  </conditionalFormatting>
  <conditionalFormatting sqref="L89">
    <cfRule type="cellIs" dxfId="325" priority="29" operator="equal">
      <formula>"未完成"</formula>
    </cfRule>
    <cfRule type="cellIs" dxfId="324" priority="30" operator="equal">
      <formula>"已完成"</formula>
    </cfRule>
  </conditionalFormatting>
  <conditionalFormatting sqref="N90:O90">
    <cfRule type="cellIs" dxfId="323" priority="27" operator="equal">
      <formula>"×"</formula>
    </cfRule>
    <cfRule type="cellIs" dxfId="322" priority="28" operator="equal">
      <formula>"√"</formula>
    </cfRule>
  </conditionalFormatting>
  <conditionalFormatting sqref="L90">
    <cfRule type="cellIs" dxfId="321" priority="25" operator="equal">
      <formula>"未完成"</formula>
    </cfRule>
    <cfRule type="cellIs" dxfId="320" priority="26" operator="equal">
      <formula>"已完成"</formula>
    </cfRule>
  </conditionalFormatting>
  <conditionalFormatting sqref="N91:O91">
    <cfRule type="cellIs" dxfId="319" priority="23" operator="equal">
      <formula>"×"</formula>
    </cfRule>
    <cfRule type="cellIs" dxfId="318" priority="24" operator="equal">
      <formula>"√"</formula>
    </cfRule>
  </conditionalFormatting>
  <conditionalFormatting sqref="L91">
    <cfRule type="cellIs" dxfId="317" priority="21" operator="equal">
      <formula>"未完成"</formula>
    </cfRule>
    <cfRule type="cellIs" dxfId="316" priority="22" operator="equal">
      <formula>"已完成"</formula>
    </cfRule>
  </conditionalFormatting>
  <conditionalFormatting sqref="N92:O92">
    <cfRule type="cellIs" dxfId="315" priority="19" operator="equal">
      <formula>"×"</formula>
    </cfRule>
    <cfRule type="cellIs" dxfId="314" priority="20" operator="equal">
      <formula>"√"</formula>
    </cfRule>
  </conditionalFormatting>
  <conditionalFormatting sqref="L92">
    <cfRule type="cellIs" dxfId="313" priority="17" operator="equal">
      <formula>"未完成"</formula>
    </cfRule>
    <cfRule type="cellIs" dxfId="312" priority="18" operator="equal">
      <formula>"已完成"</formula>
    </cfRule>
  </conditionalFormatting>
  <conditionalFormatting sqref="N29:O29">
    <cfRule type="cellIs" dxfId="311" priority="15" operator="equal">
      <formula>"×"</formula>
    </cfRule>
    <cfRule type="cellIs" dxfId="310" priority="16" operator="equal">
      <formula>"√"</formula>
    </cfRule>
  </conditionalFormatting>
  <conditionalFormatting sqref="L29">
    <cfRule type="cellIs" dxfId="309" priority="13" operator="equal">
      <formula>"未完成"</formula>
    </cfRule>
    <cfRule type="cellIs" dxfId="308" priority="14" operator="equal">
      <formula>"已完成"</formula>
    </cfRule>
  </conditionalFormatting>
  <conditionalFormatting sqref="L23">
    <cfRule type="cellIs" dxfId="307" priority="9" operator="equal">
      <formula>"未完成"</formula>
    </cfRule>
    <cfRule type="cellIs" dxfId="306" priority="10" operator="equal">
      <formula>"已完成"</formula>
    </cfRule>
  </conditionalFormatting>
  <conditionalFormatting sqref="D23">
    <cfRule type="cellIs" dxfId="305" priority="11" operator="equal">
      <formula>"×"</formula>
    </cfRule>
    <cfRule type="cellIs" dxfId="304" priority="12" operator="equal">
      <formula>"√"</formula>
    </cfRule>
  </conditionalFormatting>
  <conditionalFormatting sqref="D24:D25 N24:N25">
    <cfRule type="cellIs" dxfId="303" priority="7" operator="equal">
      <formula>"×"</formula>
    </cfRule>
    <cfRule type="cellIs" dxfId="302" priority="8" operator="equal">
      <formula>"√"</formula>
    </cfRule>
  </conditionalFormatting>
  <conditionalFormatting sqref="L24:L25">
    <cfRule type="cellIs" dxfId="301" priority="5" operator="equal">
      <formula>"未完成"</formula>
    </cfRule>
    <cfRule type="cellIs" dxfId="300" priority="6" operator="equal">
      <formula>"已完成"</formula>
    </cfRule>
  </conditionalFormatting>
  <conditionalFormatting sqref="D26 N26">
    <cfRule type="cellIs" dxfId="299" priority="3" operator="equal">
      <formula>"×"</formula>
    </cfRule>
    <cfRule type="cellIs" dxfId="298" priority="4" operator="equal">
      <formula>"√"</formula>
    </cfRule>
  </conditionalFormatting>
  <conditionalFormatting sqref="L26">
    <cfRule type="cellIs" dxfId="297" priority="1" operator="equal">
      <formula>"未完成"</formula>
    </cfRule>
    <cfRule type="cellIs" dxfId="296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配置!$E$4:$E$6</xm:f>
          </x14:formula1>
          <xm:sqref>L21:L22 L24:L26</xm:sqref>
        </x14:dataValidation>
        <x14:dataValidation type="list" allowBlank="1" showInputMessage="1" showErrorMessage="1">
          <x14:formula1>
            <xm:f>配置!$G$3:$G$7</xm:f>
          </x14:formula1>
          <xm:sqref>G21:G22 G24:G26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配置!$K$4:$K$8</xm:f>
          </x14:formula1>
          <xm:sqref>C24:C26</xm:sqref>
        </x14:dataValidation>
        <x14:dataValidation type="list" allowBlank="1" showInputMessage="1" showErrorMessage="1">
          <x14:formula1>
            <xm:f>配置!$I$4:$I$8</xm:f>
          </x14:formula1>
          <xm:sqref>E24:F26</xm:sqref>
        </x14:dataValidation>
        <x14:dataValidation type="list" allowBlank="1" showInputMessage="1" showErrorMessage="1">
          <x14:formula1>
            <xm:f>配置!$M$3:$M$5</xm:f>
          </x14:formula1>
          <xm:sqref>I24:I26</xm:sqref>
        </x14:dataValidation>
        <x14:dataValidation type="list" allowBlank="1" showInputMessage="1" showErrorMessage="1">
          <x14:formula1>
            <xm:f>配置!$E$3:$E$5</xm:f>
          </x14:formula1>
          <xm:sqref>L6:L19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V93"/>
  <sheetViews>
    <sheetView showGridLines="0" workbookViewId="0">
      <pane xSplit="1" ySplit="4" topLeftCell="B5" activePane="bottomRight" state="frozen"/>
      <selection pane="topRight" activeCell="G1" sqref="G1"/>
      <selection pane="bottomLeft" activeCell="A6" sqref="A6"/>
      <selection pane="bottomRight" activeCell="F6" sqref="F6"/>
    </sheetView>
  </sheetViews>
  <sheetFormatPr defaultColWidth="0" defaultRowHeight="22.9" customHeight="1" zeroHeight="1" x14ac:dyDescent="0.5"/>
  <cols>
    <col min="1" max="1" width="5.59765625" style="21" customWidth="1"/>
    <col min="2" max="2" width="4.59765625" style="19" customWidth="1"/>
    <col min="3" max="3" width="6.59765625" style="21" customWidth="1"/>
    <col min="4" max="4" width="40.59765625" style="17" customWidth="1"/>
    <col min="5" max="6" width="6.59765625" style="21" customWidth="1"/>
    <col min="7" max="7" width="7.59765625" style="21" customWidth="1"/>
    <col min="8" max="8" width="17.59765625" style="27" customWidth="1"/>
    <col min="9" max="9" width="6.59765625" style="21" customWidth="1"/>
    <col min="10" max="10" width="5.9296875" style="21" customWidth="1"/>
    <col min="11" max="11" width="17.59765625" style="27" customWidth="1"/>
    <col min="12" max="12" width="5.59765625" style="12" customWidth="1"/>
    <col min="13" max="13" width="7.86328125" style="3" hidden="1" customWidth="1"/>
    <col min="14" max="14" width="4.59765625" style="15" customWidth="1"/>
    <col min="15" max="15" width="3.59765625" style="13" customWidth="1"/>
    <col min="16" max="16" width="3.59765625" style="3" customWidth="1"/>
    <col min="17" max="17" width="18.59765625" style="3" customWidth="1"/>
    <col min="18" max="18" width="4.59765625" style="1" hidden="1" customWidth="1"/>
    <col min="19" max="19" width="5.265625" style="1" hidden="1" customWidth="1"/>
    <col min="20" max="20" width="4.59765625" style="1" hidden="1" customWidth="1"/>
    <col min="21" max="21" width="3.59765625" style="1" hidden="1" customWidth="1"/>
    <col min="22" max="22" width="0" style="1" hidden="1" customWidth="1"/>
    <col min="23" max="16384" width="9" style="1" hidden="1"/>
  </cols>
  <sheetData>
    <row r="1" spans="1:18" ht="40.049999999999997" customHeight="1" x14ac:dyDescent="0.5">
      <c r="A1" s="203" t="str">
        <f ca="1">TEXT(SheetName,"yyyyy-mm-dd   aaaa")&amp;"     播 出 科 值 班 日 志"</f>
        <v>空白表     播 出 科 值 班 日 志</v>
      </c>
      <c r="B1" s="204"/>
      <c r="C1" s="204"/>
      <c r="D1" s="204"/>
      <c r="E1" s="204"/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5"/>
    </row>
    <row r="2" spans="1:18" ht="24" customHeight="1" x14ac:dyDescent="0.5">
      <c r="A2" s="77"/>
      <c r="B2" s="206" t="s">
        <v>55</v>
      </c>
      <c r="C2" s="207"/>
      <c r="D2" s="78" t="s">
        <v>144</v>
      </c>
      <c r="E2" s="206" t="s">
        <v>44</v>
      </c>
      <c r="F2" s="207"/>
      <c r="G2" s="208"/>
      <c r="H2" s="209"/>
      <c r="I2" s="210"/>
      <c r="J2" s="211"/>
      <c r="K2" s="79"/>
      <c r="L2" s="80"/>
      <c r="M2" s="81"/>
      <c r="N2" s="80"/>
      <c r="O2" s="82"/>
      <c r="P2" s="80"/>
      <c r="Q2" s="83"/>
    </row>
    <row r="3" spans="1:18" s="4" customFormat="1" ht="16.05" customHeight="1" x14ac:dyDescent="0.45">
      <c r="A3" s="77"/>
      <c r="B3" s="212" t="s">
        <v>9</v>
      </c>
      <c r="C3" s="214" t="s">
        <v>10</v>
      </c>
      <c r="D3" s="212" t="s">
        <v>11</v>
      </c>
      <c r="E3" s="216" t="s">
        <v>17</v>
      </c>
      <c r="F3" s="217"/>
      <c r="G3" s="216" t="s">
        <v>52</v>
      </c>
      <c r="H3" s="217"/>
      <c r="I3" s="212" t="s">
        <v>56</v>
      </c>
      <c r="J3" s="218" t="s">
        <v>8</v>
      </c>
      <c r="K3" s="219"/>
      <c r="L3" s="189" t="s">
        <v>14</v>
      </c>
      <c r="M3" s="84"/>
      <c r="N3" s="195" t="s">
        <v>96</v>
      </c>
      <c r="O3" s="197" t="s">
        <v>56</v>
      </c>
      <c r="P3" s="198"/>
      <c r="Q3" s="201" t="s">
        <v>16</v>
      </c>
    </row>
    <row r="4" spans="1:18" s="10" customFormat="1" ht="16.05" customHeight="1" x14ac:dyDescent="0.45">
      <c r="A4" s="85"/>
      <c r="B4" s="213"/>
      <c r="C4" s="215"/>
      <c r="D4" s="213"/>
      <c r="E4" s="86" t="s">
        <v>53</v>
      </c>
      <c r="F4" s="86" t="s">
        <v>54</v>
      </c>
      <c r="G4" s="87" t="s">
        <v>12</v>
      </c>
      <c r="H4" s="88" t="s">
        <v>13</v>
      </c>
      <c r="I4" s="213"/>
      <c r="J4" s="108" t="s">
        <v>12</v>
      </c>
      <c r="K4" s="108" t="s">
        <v>13</v>
      </c>
      <c r="L4" s="190"/>
      <c r="M4" s="89" t="s">
        <v>15</v>
      </c>
      <c r="N4" s="196"/>
      <c r="O4" s="199"/>
      <c r="P4" s="200"/>
      <c r="Q4" s="202"/>
    </row>
    <row r="5" spans="1:18" s="10" customFormat="1" ht="20" customHeight="1" x14ac:dyDescent="0.5">
      <c r="A5" s="114"/>
      <c r="B5" s="270" t="s">
        <v>95</v>
      </c>
      <c r="C5" s="271"/>
      <c r="D5" s="272"/>
      <c r="E5" s="126">
        <v>0.28472222222222221</v>
      </c>
      <c r="F5" s="127">
        <v>0.33333333333333331</v>
      </c>
      <c r="G5" s="268" t="str">
        <f>IF(L5="","",IF(G5="",$G$2,G5))</f>
        <v/>
      </c>
      <c r="H5" s="269"/>
      <c r="I5" s="268" t="str">
        <f ca="1">IF(L5="","",IF(I5="",TEXT(NOW(),"yyyy-mm-dd h:mm:ss"),I5))</f>
        <v/>
      </c>
      <c r="J5" s="273"/>
      <c r="K5" s="269"/>
      <c r="L5" s="33"/>
      <c r="M5" s="45" t="str">
        <f t="shared" ref="M5:M17" ca="1" si="0">IF(M5=0,"",IF(L5&lt;&gt;M5,L5,M5))</f>
        <v/>
      </c>
      <c r="N5" s="120" t="str">
        <f>IF(L5="未完成","×",IF(L5="已完成","√",""))</f>
        <v/>
      </c>
      <c r="O5" s="258" t="str">
        <f>IF(L5="","",IF(AND(TEXT(I5,"yyyymmddhhmmss")&gt;TEXT(SheetName,"yyyymmdd")&amp;TEXT(E5,"hhmmss"),TEXT(I5,"yyyymmddhhmmss")&lt;TEXT(SheetName,"yyyymmdd")&amp;TEXT(F5,"hhmmss")),"","超  时"))</f>
        <v/>
      </c>
      <c r="P5" s="259"/>
      <c r="Q5" s="121"/>
    </row>
    <row r="6" spans="1:18" s="8" customFormat="1" ht="20" customHeight="1" x14ac:dyDescent="0.5">
      <c r="A6" s="115"/>
      <c r="B6" s="128">
        <v>1</v>
      </c>
      <c r="C6" s="118" t="s">
        <v>48</v>
      </c>
      <c r="D6" s="129" t="s">
        <v>136</v>
      </c>
      <c r="E6" s="126">
        <v>0.28472222222222221</v>
      </c>
      <c r="F6" s="127">
        <v>0.5</v>
      </c>
      <c r="G6" s="118" t="str">
        <f t="shared" ref="G6" si="1">IF(L6="","",IF(G6="",$G$2,G6))</f>
        <v/>
      </c>
      <c r="H6" s="118" t="str">
        <f t="shared" ref="H6" ca="1" si="2">IF(L6="","",IF(H6="",TEXT(NOW(),"yyyy-mm-dd h:mm:ss"),H6))</f>
        <v/>
      </c>
      <c r="I6" s="130" t="str">
        <f t="shared" ref="I6" si="3">IF(L6="","",IF(AND(TEXT(H6,"yyyymmddhhmmss")&gt;TEXT(SheetName,"yyyymmdd")&amp;TEXT(E6,"hhmmss"),TEXT(H6,"yyyymmddhhmmss")&lt;TEXT(SheetName,"yyyymmdd")&amp;TEXT(F6,"hhmmss")),"","超  时"))</f>
        <v/>
      </c>
      <c r="J6" s="118" t="str">
        <f t="shared" ref="J6" si="4">IF(L6 ="","",IF(L6&lt;&gt;M6,$G$2,J6))</f>
        <v/>
      </c>
      <c r="K6" s="118" t="str">
        <f t="shared" ref="K6" ca="1" si="5">IF(L6 = "","",IF(L6&lt;&gt;M6,TEXT(NOW(),"yyyy-mm-dd h:mm:ss"),K6))</f>
        <v/>
      </c>
      <c r="L6" s="18"/>
      <c r="M6" s="5" t="str">
        <f t="shared" ref="M6" ca="1" si="6">IF(M6=0,"",IF(L6&lt;&gt;M6,L6,M6))</f>
        <v/>
      </c>
      <c r="N6" s="122" t="str">
        <f t="shared" ref="N6" si="7">IF(L6="未完成","×",IF(L6="已完成","√",""))</f>
        <v/>
      </c>
      <c r="O6" s="258" t="str">
        <f t="shared" ref="O6" si="8">IF(L6="","",IF(AND(TEXT(K6,"yyyymmddhhmmss")&gt;TEXT(SheetName,"yyyymmdd")&amp;TEXT(E6,"hhmmss"),TEXT(K6,"yyyymmddhhmmss")&lt;TEXT(SheetName,"yyyymmdd")&amp;TEXT(F6,"hhmmss")),"","超  时"))</f>
        <v/>
      </c>
      <c r="P6" s="259"/>
      <c r="Q6" s="123"/>
    </row>
    <row r="7" spans="1:18" s="8" customFormat="1" ht="20" customHeight="1" x14ac:dyDescent="0.5">
      <c r="A7" s="115"/>
      <c r="B7" s="128">
        <v>2</v>
      </c>
      <c r="C7" s="118" t="s">
        <v>48</v>
      </c>
      <c r="D7" s="129" t="s">
        <v>18</v>
      </c>
      <c r="E7" s="126">
        <v>0.28472222222222221</v>
      </c>
      <c r="F7" s="127">
        <v>0.5</v>
      </c>
      <c r="G7" s="118" t="str">
        <f t="shared" ref="G7:G17" si="9">IF(L7="","",IF(G7="",$G$2,G7))</f>
        <v/>
      </c>
      <c r="H7" s="118" t="str">
        <f t="shared" ref="H7:H17" ca="1" si="10">IF(L7="","",IF(H7="",TEXT(NOW(),"yyyy-mm-dd h:mm:ss"),H7))</f>
        <v/>
      </c>
      <c r="I7" s="130" t="str">
        <f t="shared" ref="I7:I17" si="11">IF(L7="","",IF(AND(TEXT(H7,"yyyymmddhhmmss")&gt;TEXT(SheetName,"yyyymmdd")&amp;TEXT(E7,"hhmmss"),TEXT(H7,"yyyymmddhhmmss")&lt;TEXT(SheetName,"yyyymmdd")&amp;TEXT(F7,"hhmmss")),"","超  时"))</f>
        <v/>
      </c>
      <c r="J7" s="118" t="str">
        <f t="shared" ref="J7:J17" si="12">IF(L7 ="","",IF(L7&lt;&gt;M7,$G$2,J7))</f>
        <v/>
      </c>
      <c r="K7" s="118" t="str">
        <f t="shared" ref="K7:K17" ca="1" si="13">IF(L7 = "","",IF(L7&lt;&gt;M7,TEXT(NOW(),"yyyy-mm-dd h:mm:ss"),K7))</f>
        <v/>
      </c>
      <c r="L7" s="18"/>
      <c r="M7" s="5" t="str">
        <f t="shared" ca="1" si="0"/>
        <v/>
      </c>
      <c r="N7" s="122" t="str">
        <f t="shared" ref="N7:N17" si="14">IF(L7="未完成","×",IF(L7="已完成","√",""))</f>
        <v/>
      </c>
      <c r="O7" s="258" t="str">
        <f t="shared" ref="O7:O17" si="15">IF(L7="","",IF(AND(TEXT(K7,"yyyymmddhhmmss")&gt;TEXT(SheetName,"yyyymmdd")&amp;TEXT(E7,"hhmmss"),TEXT(K7,"yyyymmddhhmmss")&lt;TEXT(SheetName,"yyyymmdd")&amp;TEXT(F7,"hhmmss")),"","超  时"))</f>
        <v/>
      </c>
      <c r="P7" s="259"/>
      <c r="Q7" s="123"/>
    </row>
    <row r="8" spans="1:18" s="2" customFormat="1" ht="20" customHeight="1" x14ac:dyDescent="0.5">
      <c r="A8" s="115"/>
      <c r="B8" s="128">
        <v>3</v>
      </c>
      <c r="C8" s="118" t="s">
        <v>48</v>
      </c>
      <c r="D8" s="129" t="s">
        <v>102</v>
      </c>
      <c r="E8" s="126">
        <v>0.28472222222222221</v>
      </c>
      <c r="F8" s="127">
        <v>0.5</v>
      </c>
      <c r="G8" s="118" t="str">
        <f t="shared" si="9"/>
        <v/>
      </c>
      <c r="H8" s="118" t="str">
        <f t="shared" ca="1" si="10"/>
        <v/>
      </c>
      <c r="I8" s="130" t="str">
        <f t="shared" si="11"/>
        <v/>
      </c>
      <c r="J8" s="118" t="str">
        <f t="shared" si="12"/>
        <v/>
      </c>
      <c r="K8" s="118" t="str">
        <f t="shared" ca="1" si="13"/>
        <v/>
      </c>
      <c r="L8" s="18"/>
      <c r="M8" s="5" t="str">
        <f t="shared" ca="1" si="0"/>
        <v/>
      </c>
      <c r="N8" s="122" t="str">
        <f t="shared" si="14"/>
        <v/>
      </c>
      <c r="O8" s="258" t="str">
        <f t="shared" si="15"/>
        <v/>
      </c>
      <c r="P8" s="259"/>
      <c r="Q8" s="123"/>
      <c r="R8" s="8"/>
    </row>
    <row r="9" spans="1:18" s="2" customFormat="1" ht="20" customHeight="1" x14ac:dyDescent="0.5">
      <c r="A9" s="115"/>
      <c r="B9" s="128">
        <v>4</v>
      </c>
      <c r="C9" s="118" t="s">
        <v>48</v>
      </c>
      <c r="D9" s="129" t="s">
        <v>103</v>
      </c>
      <c r="E9" s="126">
        <v>0.28472222222222221</v>
      </c>
      <c r="F9" s="127">
        <v>0.5</v>
      </c>
      <c r="G9" s="118" t="str">
        <f t="shared" si="9"/>
        <v/>
      </c>
      <c r="H9" s="118" t="str">
        <f t="shared" ca="1" si="10"/>
        <v/>
      </c>
      <c r="I9" s="130" t="str">
        <f t="shared" si="11"/>
        <v/>
      </c>
      <c r="J9" s="118" t="str">
        <f t="shared" si="12"/>
        <v/>
      </c>
      <c r="K9" s="118" t="str">
        <f t="shared" ca="1" si="13"/>
        <v/>
      </c>
      <c r="L9" s="18"/>
      <c r="M9" s="5" t="str">
        <f t="shared" ca="1" si="0"/>
        <v/>
      </c>
      <c r="N9" s="122" t="str">
        <f t="shared" si="14"/>
        <v/>
      </c>
      <c r="O9" s="258" t="str">
        <f t="shared" si="15"/>
        <v/>
      </c>
      <c r="P9" s="259"/>
      <c r="Q9" s="124"/>
      <c r="R9" s="8"/>
    </row>
    <row r="10" spans="1:18" s="2" customFormat="1" ht="20" customHeight="1" x14ac:dyDescent="0.5">
      <c r="A10" s="115"/>
      <c r="B10" s="128">
        <v>5</v>
      </c>
      <c r="C10" s="118" t="s">
        <v>48</v>
      </c>
      <c r="D10" s="129" t="s">
        <v>19</v>
      </c>
      <c r="E10" s="126">
        <v>0.28472222222222221</v>
      </c>
      <c r="F10" s="127">
        <v>0.5</v>
      </c>
      <c r="G10" s="118" t="str">
        <f t="shared" si="9"/>
        <v/>
      </c>
      <c r="H10" s="118" t="str">
        <f t="shared" ca="1" si="10"/>
        <v/>
      </c>
      <c r="I10" s="130" t="str">
        <f t="shared" si="11"/>
        <v/>
      </c>
      <c r="J10" s="118" t="str">
        <f t="shared" si="12"/>
        <v/>
      </c>
      <c r="K10" s="118" t="str">
        <f t="shared" ca="1" si="13"/>
        <v/>
      </c>
      <c r="L10" s="18"/>
      <c r="M10" s="5" t="str">
        <f t="shared" ca="1" si="0"/>
        <v/>
      </c>
      <c r="N10" s="122" t="str">
        <f t="shared" si="14"/>
        <v/>
      </c>
      <c r="O10" s="258" t="str">
        <f t="shared" si="15"/>
        <v/>
      </c>
      <c r="P10" s="259"/>
      <c r="Q10" s="125"/>
      <c r="R10" s="8"/>
    </row>
    <row r="11" spans="1:18" s="2" customFormat="1" ht="20" customHeight="1" x14ac:dyDescent="0.5">
      <c r="A11" s="116" t="s">
        <v>135</v>
      </c>
      <c r="B11" s="128">
        <v>6</v>
      </c>
      <c r="C11" s="118" t="s">
        <v>48</v>
      </c>
      <c r="D11" s="129" t="s">
        <v>20</v>
      </c>
      <c r="E11" s="126">
        <v>0.28472222222222221</v>
      </c>
      <c r="F11" s="127">
        <v>0.5</v>
      </c>
      <c r="G11" s="118" t="str">
        <f t="shared" si="9"/>
        <v/>
      </c>
      <c r="H11" s="118" t="str">
        <f t="shared" ca="1" si="10"/>
        <v/>
      </c>
      <c r="I11" s="130" t="str">
        <f t="shared" si="11"/>
        <v/>
      </c>
      <c r="J11" s="118" t="str">
        <f t="shared" si="12"/>
        <v/>
      </c>
      <c r="K11" s="118" t="str">
        <f t="shared" ca="1" si="13"/>
        <v/>
      </c>
      <c r="L11" s="18"/>
      <c r="M11" s="5" t="str">
        <f t="shared" ca="1" si="0"/>
        <v/>
      </c>
      <c r="N11" s="122" t="str">
        <f t="shared" si="14"/>
        <v/>
      </c>
      <c r="O11" s="258" t="str">
        <f t="shared" si="15"/>
        <v/>
      </c>
      <c r="P11" s="259"/>
      <c r="Q11" s="121"/>
      <c r="R11" s="8"/>
    </row>
    <row r="12" spans="1:18" s="2" customFormat="1" ht="20" customHeight="1" x14ac:dyDescent="0.5">
      <c r="A12" s="116"/>
      <c r="B12" s="128">
        <v>7</v>
      </c>
      <c r="C12" s="118" t="s">
        <v>48</v>
      </c>
      <c r="D12" s="129" t="s">
        <v>21</v>
      </c>
      <c r="E12" s="126">
        <v>0.28472222222222221</v>
      </c>
      <c r="F12" s="127">
        <v>0.5</v>
      </c>
      <c r="G12" s="118" t="str">
        <f t="shared" si="9"/>
        <v/>
      </c>
      <c r="H12" s="118" t="str">
        <f t="shared" ca="1" si="10"/>
        <v/>
      </c>
      <c r="I12" s="130" t="str">
        <f t="shared" si="11"/>
        <v/>
      </c>
      <c r="J12" s="118" t="str">
        <f t="shared" si="12"/>
        <v/>
      </c>
      <c r="K12" s="118" t="str">
        <f t="shared" ca="1" si="13"/>
        <v/>
      </c>
      <c r="L12" s="18"/>
      <c r="M12" s="5" t="str">
        <f t="shared" ca="1" si="0"/>
        <v/>
      </c>
      <c r="N12" s="122" t="str">
        <f t="shared" si="14"/>
        <v/>
      </c>
      <c r="O12" s="258" t="str">
        <f t="shared" si="15"/>
        <v/>
      </c>
      <c r="P12" s="259"/>
      <c r="Q12" s="121"/>
      <c r="R12" s="8"/>
    </row>
    <row r="13" spans="1:18" s="2" customFormat="1" ht="20" customHeight="1" x14ac:dyDescent="0.5">
      <c r="A13" s="116"/>
      <c r="B13" s="128">
        <v>8</v>
      </c>
      <c r="C13" s="118" t="s">
        <v>48</v>
      </c>
      <c r="D13" s="129" t="s">
        <v>22</v>
      </c>
      <c r="E13" s="126">
        <v>0.28472222222222221</v>
      </c>
      <c r="F13" s="127">
        <v>0.5</v>
      </c>
      <c r="G13" s="118" t="str">
        <f t="shared" si="9"/>
        <v/>
      </c>
      <c r="H13" s="118" t="str">
        <f t="shared" ca="1" si="10"/>
        <v/>
      </c>
      <c r="I13" s="130" t="str">
        <f t="shared" si="11"/>
        <v/>
      </c>
      <c r="J13" s="118" t="str">
        <f t="shared" si="12"/>
        <v/>
      </c>
      <c r="K13" s="118" t="str">
        <f t="shared" ca="1" si="13"/>
        <v/>
      </c>
      <c r="L13" s="18"/>
      <c r="M13" s="5" t="str">
        <f t="shared" ca="1" si="0"/>
        <v/>
      </c>
      <c r="N13" s="122" t="str">
        <f t="shared" si="14"/>
        <v/>
      </c>
      <c r="O13" s="258" t="str">
        <f t="shared" si="15"/>
        <v/>
      </c>
      <c r="P13" s="259"/>
      <c r="Q13" s="121"/>
      <c r="R13" s="8"/>
    </row>
    <row r="14" spans="1:18" s="2" customFormat="1" ht="20" customHeight="1" x14ac:dyDescent="0.5">
      <c r="A14" s="116"/>
      <c r="B14" s="128">
        <v>9</v>
      </c>
      <c r="C14" s="118" t="s">
        <v>48</v>
      </c>
      <c r="D14" s="129" t="s">
        <v>137</v>
      </c>
      <c r="E14" s="126">
        <v>0.28472222222222221</v>
      </c>
      <c r="F14" s="127">
        <v>0.5</v>
      </c>
      <c r="G14" s="118" t="str">
        <f t="shared" ref="G14" si="16">IF(L14="","",IF(G14="",$G$2,G14))</f>
        <v/>
      </c>
      <c r="H14" s="118" t="str">
        <f t="shared" ref="H14" ca="1" si="17">IF(L14="","",IF(H14="",TEXT(NOW(),"yyyy-mm-dd h:mm:ss"),H14))</f>
        <v/>
      </c>
      <c r="I14" s="130" t="str">
        <f t="shared" ref="I14" si="18">IF(L14="","",IF(AND(TEXT(H14,"yyyymmddhhmmss")&gt;TEXT(SheetName,"yyyymmdd")&amp;TEXT(E14,"hhmmss"),TEXT(H14,"yyyymmddhhmmss")&lt;TEXT(SheetName,"yyyymmdd")&amp;TEXT(F14,"hhmmss")),"","超  时"))</f>
        <v/>
      </c>
      <c r="J14" s="118" t="str">
        <f t="shared" ref="J14" si="19">IF(L14 ="","",IF(L14&lt;&gt;M14,$G$2,J14))</f>
        <v/>
      </c>
      <c r="K14" s="118" t="str">
        <f t="shared" ref="K14" ca="1" si="20">IF(L14 = "","",IF(L14&lt;&gt;M14,TEXT(NOW(),"yyyy-mm-dd h:mm:ss"),K14))</f>
        <v/>
      </c>
      <c r="L14" s="18"/>
      <c r="M14" s="5" t="str">
        <f t="shared" ref="M14" ca="1" si="21">IF(M14=0,"",IF(L14&lt;&gt;M14,L14,M14))</f>
        <v/>
      </c>
      <c r="N14" s="122" t="str">
        <f t="shared" ref="N14" si="22">IF(L14="未完成","×",IF(L14="已完成","√",""))</f>
        <v/>
      </c>
      <c r="O14" s="258" t="str">
        <f t="shared" ref="O14" si="23">IF(L14="","",IF(AND(TEXT(K14,"yyyymmddhhmmss")&gt;TEXT(SheetName,"yyyymmdd")&amp;TEXT(E14,"hhmmss"),TEXT(K14,"yyyymmddhhmmss")&lt;TEXT(SheetName,"yyyymmdd")&amp;TEXT(F14,"hhmmss")),"","超  时"))</f>
        <v/>
      </c>
      <c r="P14" s="259"/>
      <c r="Q14" s="121"/>
      <c r="R14" s="8" t="s">
        <v>51</v>
      </c>
    </row>
    <row r="15" spans="1:18" s="2" customFormat="1" ht="20" customHeight="1" x14ac:dyDescent="0.5">
      <c r="A15" s="115"/>
      <c r="B15" s="128">
        <v>10</v>
      </c>
      <c r="C15" s="118" t="s">
        <v>49</v>
      </c>
      <c r="D15" s="129" t="s">
        <v>138</v>
      </c>
      <c r="E15" s="126">
        <v>0.28472222222222221</v>
      </c>
      <c r="F15" s="127">
        <v>0.5</v>
      </c>
      <c r="G15" s="118" t="str">
        <f t="shared" si="9"/>
        <v/>
      </c>
      <c r="H15" s="118" t="str">
        <f t="shared" ca="1" si="10"/>
        <v/>
      </c>
      <c r="I15" s="130" t="str">
        <f t="shared" si="11"/>
        <v/>
      </c>
      <c r="J15" s="118" t="str">
        <f t="shared" si="12"/>
        <v/>
      </c>
      <c r="K15" s="118" t="str">
        <f t="shared" ca="1" si="13"/>
        <v/>
      </c>
      <c r="L15" s="18"/>
      <c r="M15" s="5" t="str">
        <f t="shared" ca="1" si="0"/>
        <v/>
      </c>
      <c r="N15" s="122" t="str">
        <f t="shared" si="14"/>
        <v/>
      </c>
      <c r="O15" s="258" t="str">
        <f t="shared" si="15"/>
        <v/>
      </c>
      <c r="P15" s="259"/>
      <c r="Q15" s="121"/>
      <c r="R15" s="8"/>
    </row>
    <row r="16" spans="1:18" s="2" customFormat="1" ht="20" customHeight="1" x14ac:dyDescent="0.5">
      <c r="A16" s="115"/>
      <c r="B16" s="128">
        <v>11</v>
      </c>
      <c r="C16" s="118" t="s">
        <v>49</v>
      </c>
      <c r="D16" s="129" t="s">
        <v>139</v>
      </c>
      <c r="E16" s="126">
        <v>0.28472222222222221</v>
      </c>
      <c r="F16" s="127">
        <v>0.5</v>
      </c>
      <c r="G16" s="118" t="str">
        <f t="shared" si="9"/>
        <v/>
      </c>
      <c r="H16" s="118" t="str">
        <f t="shared" ca="1" si="10"/>
        <v/>
      </c>
      <c r="I16" s="130" t="str">
        <f t="shared" si="11"/>
        <v/>
      </c>
      <c r="J16" s="118" t="str">
        <f t="shared" si="12"/>
        <v/>
      </c>
      <c r="K16" s="118" t="str">
        <f t="shared" ca="1" si="13"/>
        <v/>
      </c>
      <c r="L16" s="18"/>
      <c r="M16" s="5" t="str">
        <f t="shared" ca="1" si="0"/>
        <v/>
      </c>
      <c r="N16" s="122" t="str">
        <f t="shared" si="14"/>
        <v/>
      </c>
      <c r="O16" s="258" t="str">
        <f t="shared" si="15"/>
        <v/>
      </c>
      <c r="P16" s="259"/>
      <c r="Q16" s="121"/>
      <c r="R16" s="8"/>
    </row>
    <row r="17" spans="1:22" s="2" customFormat="1" ht="20" customHeight="1" x14ac:dyDescent="0.5">
      <c r="A17" s="115"/>
      <c r="B17" s="128">
        <v>12</v>
      </c>
      <c r="C17" s="118" t="s">
        <v>49</v>
      </c>
      <c r="D17" s="129" t="s">
        <v>140</v>
      </c>
      <c r="E17" s="126">
        <v>0.28472222222222221</v>
      </c>
      <c r="F17" s="127">
        <v>0.5</v>
      </c>
      <c r="G17" s="118" t="str">
        <f t="shared" si="9"/>
        <v/>
      </c>
      <c r="H17" s="118" t="str">
        <f t="shared" ca="1" si="10"/>
        <v/>
      </c>
      <c r="I17" s="130" t="str">
        <f t="shared" si="11"/>
        <v/>
      </c>
      <c r="J17" s="118" t="str">
        <f t="shared" si="12"/>
        <v/>
      </c>
      <c r="K17" s="118" t="str">
        <f t="shared" ca="1" si="13"/>
        <v/>
      </c>
      <c r="L17" s="18"/>
      <c r="M17" s="5" t="str">
        <f t="shared" ca="1" si="0"/>
        <v/>
      </c>
      <c r="N17" s="122" t="str">
        <f t="shared" si="14"/>
        <v/>
      </c>
      <c r="O17" s="258" t="str">
        <f t="shared" si="15"/>
        <v/>
      </c>
      <c r="P17" s="259"/>
      <c r="Q17" s="121"/>
      <c r="R17" s="8"/>
      <c r="V17" s="53"/>
    </row>
    <row r="18" spans="1:22" s="2" customFormat="1" ht="20" customHeight="1" x14ac:dyDescent="0.5">
      <c r="A18" s="115"/>
      <c r="B18" s="178" t="s">
        <v>79</v>
      </c>
      <c r="C18" s="179"/>
      <c r="D18" s="46" t="s">
        <v>119</v>
      </c>
      <c r="E18" s="180" t="s">
        <v>72</v>
      </c>
      <c r="F18" s="181"/>
      <c r="G18" s="90" t="s">
        <v>73</v>
      </c>
      <c r="H18" s="180" t="s">
        <v>77</v>
      </c>
      <c r="I18" s="181"/>
      <c r="J18" s="90" t="s">
        <v>78</v>
      </c>
      <c r="K18" s="107" t="s">
        <v>80</v>
      </c>
      <c r="L18" s="180" t="s">
        <v>70</v>
      </c>
      <c r="M18" s="182"/>
      <c r="N18" s="182"/>
      <c r="O18" s="182"/>
      <c r="P18" s="181"/>
      <c r="Q18" s="91" t="s">
        <v>71</v>
      </c>
      <c r="R18" s="8"/>
    </row>
    <row r="19" spans="1:22" s="2" customFormat="1" ht="30" customHeight="1" x14ac:dyDescent="0.5">
      <c r="A19" s="115"/>
      <c r="B19" s="268" t="s">
        <v>74</v>
      </c>
      <c r="C19" s="269"/>
      <c r="D19" s="51"/>
      <c r="E19" s="168"/>
      <c r="F19" s="169"/>
      <c r="G19" s="52"/>
      <c r="H19" s="185"/>
      <c r="I19" s="186"/>
      <c r="J19" s="118" t="str">
        <f>IF(L19 ="","",IF(L19&lt;&gt;M19,$G$2,J19))</f>
        <v/>
      </c>
      <c r="K19" s="119" t="str">
        <f ca="1">IF(L19 = "","",IF(L19&lt;&gt;M19,TEXT(NOW(),"yyyy-mm-dd h:mm:ss"),K19))</f>
        <v/>
      </c>
      <c r="L19" s="18"/>
      <c r="M19" s="71" t="str">
        <f t="shared" ref="M19:M20" ca="1" si="24">IF(M19=0,"",IF(L19&lt;&gt;M19,L19,M19))</f>
        <v/>
      </c>
      <c r="N19" s="263" t="str">
        <f>IF(L19="未完成","×",IF(L19="已完成","√",""))</f>
        <v/>
      </c>
      <c r="O19" s="264"/>
      <c r="P19" s="265"/>
      <c r="Q19" s="110"/>
      <c r="R19" s="8"/>
    </row>
    <row r="20" spans="1:22" s="2" customFormat="1" ht="30" customHeight="1" x14ac:dyDescent="0.5">
      <c r="A20" s="115"/>
      <c r="B20" s="268" t="s">
        <v>75</v>
      </c>
      <c r="C20" s="269"/>
      <c r="D20" s="51"/>
      <c r="E20" s="168"/>
      <c r="F20" s="169"/>
      <c r="G20" s="52"/>
      <c r="H20" s="185"/>
      <c r="I20" s="186"/>
      <c r="J20" s="118" t="str">
        <f t="shared" ref="J20" si="25">IF(L20 ="","",IF(L20&lt;&gt;M20,$G$2,J20))</f>
        <v/>
      </c>
      <c r="K20" s="119" t="str">
        <f ca="1">IF(L20 = "","",IF(L20&lt;&gt;M20,TEXT(NOW(),"yyyy-mm-dd h:mm:ss"),K20))</f>
        <v/>
      </c>
      <c r="L20" s="18"/>
      <c r="M20" s="45" t="str">
        <f t="shared" ca="1" si="24"/>
        <v/>
      </c>
      <c r="N20" s="266" t="str">
        <f>IF(L20="未完成","×",IF(L20="已完成","√",""))</f>
        <v/>
      </c>
      <c r="O20" s="266"/>
      <c r="P20" s="267"/>
      <c r="Q20" s="111"/>
      <c r="R20" s="8"/>
    </row>
    <row r="21" spans="1:22" s="2" customFormat="1" ht="20" customHeight="1" x14ac:dyDescent="0.5">
      <c r="A21" s="115"/>
      <c r="B21" s="178" t="s">
        <v>110</v>
      </c>
      <c r="C21" s="179"/>
      <c r="D21" s="46" t="s">
        <v>76</v>
      </c>
      <c r="E21" s="180" t="s">
        <v>68</v>
      </c>
      <c r="F21" s="181"/>
      <c r="G21" s="90" t="s">
        <v>73</v>
      </c>
      <c r="H21" s="90" t="s">
        <v>109</v>
      </c>
      <c r="I21" s="90" t="s">
        <v>108</v>
      </c>
      <c r="J21" s="90" t="s">
        <v>78</v>
      </c>
      <c r="K21" s="107" t="s">
        <v>80</v>
      </c>
      <c r="L21" s="180" t="s">
        <v>70</v>
      </c>
      <c r="M21" s="182"/>
      <c r="N21" s="182"/>
      <c r="O21" s="182"/>
      <c r="P21" s="181"/>
      <c r="Q21" s="91" t="s">
        <v>71</v>
      </c>
      <c r="R21" s="8"/>
    </row>
    <row r="22" spans="1:22" s="2" customFormat="1" ht="20" customHeight="1" x14ac:dyDescent="0.5">
      <c r="A22" s="115"/>
      <c r="B22" s="260" t="s">
        <v>111</v>
      </c>
      <c r="C22" s="95"/>
      <c r="D22" s="51"/>
      <c r="E22" s="168"/>
      <c r="F22" s="169"/>
      <c r="G22" s="52"/>
      <c r="H22" s="109" t="str">
        <f ca="1">IF(I22 = "", "", TEXT(NOW(),"yy-mm-dd hh:mm:ss"))</f>
        <v/>
      </c>
      <c r="I22" s="94"/>
      <c r="J22" s="112" t="s">
        <v>106</v>
      </c>
      <c r="K22" s="113" t="str">
        <f ca="1">IF(L22 = "","",IF(L22&lt;&gt;M22,TEXT(NOW(),"yyyy-mm-dd h:mm:ss"),K22))</f>
        <v/>
      </c>
      <c r="L22" s="18"/>
      <c r="M22" s="71" t="s">
        <v>106</v>
      </c>
      <c r="N22" s="263" t="s">
        <v>106</v>
      </c>
      <c r="O22" s="264"/>
      <c r="P22" s="265"/>
      <c r="Q22" s="110"/>
      <c r="R22" s="8"/>
    </row>
    <row r="23" spans="1:22" s="2" customFormat="1" ht="20" customHeight="1" x14ac:dyDescent="0.5">
      <c r="A23" s="115"/>
      <c r="B23" s="261"/>
      <c r="C23" s="95"/>
      <c r="D23" s="51"/>
      <c r="E23" s="168"/>
      <c r="F23" s="169"/>
      <c r="G23" s="52"/>
      <c r="H23" s="109" t="str">
        <f t="shared" ref="H23:H24" ca="1" si="26">IF(I23 = "", "", TEXT(NOW(),"yy-mm-dd hh:mm:ss"))</f>
        <v/>
      </c>
      <c r="I23" s="94"/>
      <c r="J23" s="112" t="s">
        <v>106</v>
      </c>
      <c r="K23" s="113" t="str">
        <f t="shared" ref="K23:K24" ca="1" si="27">IF(L23 = "","",IF(L23&lt;&gt;M23,TEXT(NOW(),"yyyy-mm-dd h:mm:ss"),K23))</f>
        <v/>
      </c>
      <c r="L23" s="18"/>
      <c r="M23" s="45" t="s">
        <v>106</v>
      </c>
      <c r="N23" s="266" t="s">
        <v>106</v>
      </c>
      <c r="O23" s="266"/>
      <c r="P23" s="267"/>
      <c r="Q23" s="111"/>
      <c r="R23" s="8"/>
    </row>
    <row r="24" spans="1:22" s="2" customFormat="1" ht="20" customHeight="1" x14ac:dyDescent="0.5">
      <c r="A24" s="115"/>
      <c r="B24" s="262"/>
      <c r="C24" s="95"/>
      <c r="D24" s="51"/>
      <c r="E24" s="168"/>
      <c r="F24" s="169"/>
      <c r="G24" s="52"/>
      <c r="H24" s="109" t="str">
        <f t="shared" ca="1" si="26"/>
        <v/>
      </c>
      <c r="I24" s="94"/>
      <c r="J24" s="112" t="s">
        <v>106</v>
      </c>
      <c r="K24" s="113" t="str">
        <f t="shared" ca="1" si="27"/>
        <v/>
      </c>
      <c r="L24" s="18"/>
      <c r="M24" s="71" t="s">
        <v>106</v>
      </c>
      <c r="N24" s="263" t="s">
        <v>106</v>
      </c>
      <c r="O24" s="264"/>
      <c r="P24" s="265"/>
      <c r="Q24" s="110"/>
      <c r="R24" s="8"/>
    </row>
    <row r="25" spans="1:22" s="2" customFormat="1" ht="40.049999999999997" customHeight="1" x14ac:dyDescent="0.5">
      <c r="A25" s="115"/>
      <c r="B25" s="256" t="s">
        <v>112</v>
      </c>
      <c r="C25" s="156"/>
      <c r="D25" s="157"/>
      <c r="E25" s="157"/>
      <c r="F25" s="157"/>
      <c r="G25" s="157"/>
      <c r="H25" s="158"/>
      <c r="I25" s="96" t="s">
        <v>114</v>
      </c>
      <c r="J25" s="162"/>
      <c r="K25" s="163"/>
      <c r="L25" s="163"/>
      <c r="M25" s="163"/>
      <c r="N25" s="163"/>
      <c r="O25" s="163"/>
      <c r="P25" s="163"/>
      <c r="Q25" s="164"/>
    </row>
    <row r="26" spans="1:22" s="2" customFormat="1" ht="40.15" customHeight="1" x14ac:dyDescent="0.5">
      <c r="A26" s="117"/>
      <c r="B26" s="257"/>
      <c r="C26" s="159"/>
      <c r="D26" s="160"/>
      <c r="E26" s="160"/>
      <c r="F26" s="160"/>
      <c r="G26" s="160"/>
      <c r="H26" s="161"/>
      <c r="I26" s="97" t="s">
        <v>113</v>
      </c>
      <c r="J26" s="165"/>
      <c r="K26" s="166"/>
      <c r="L26" s="166"/>
      <c r="M26" s="166"/>
      <c r="N26" s="166"/>
      <c r="O26" s="166"/>
      <c r="P26" s="166"/>
      <c r="Q26" s="167"/>
    </row>
    <row r="27" spans="1:22" s="8" customFormat="1" ht="20" hidden="1" customHeight="1" x14ac:dyDescent="0.5">
      <c r="A27" s="20"/>
      <c r="B27" s="28"/>
      <c r="C27" s="22"/>
      <c r="D27" s="16"/>
      <c r="E27" s="22"/>
      <c r="F27" s="22"/>
      <c r="G27" s="22"/>
      <c r="H27" s="22"/>
      <c r="I27" s="22"/>
      <c r="J27" s="22"/>
      <c r="K27" s="22"/>
      <c r="L27" s="29"/>
      <c r="M27" s="7"/>
      <c r="N27" s="14"/>
      <c r="O27" s="40"/>
      <c r="P27" s="9"/>
      <c r="Q27" s="7"/>
    </row>
    <row r="28" spans="1:22" s="8" customFormat="1" ht="20" hidden="1" customHeight="1" x14ac:dyDescent="0.5">
      <c r="A28" s="20"/>
      <c r="B28" s="28"/>
      <c r="C28" s="22"/>
      <c r="D28" s="16"/>
      <c r="E28" s="22"/>
      <c r="F28" s="22"/>
      <c r="G28" s="22"/>
      <c r="H28" s="22"/>
      <c r="I28" s="22"/>
      <c r="J28" s="22"/>
      <c r="K28" s="22"/>
      <c r="L28" s="29"/>
      <c r="M28" s="7"/>
      <c r="N28" s="14"/>
      <c r="O28" s="40"/>
      <c r="P28" s="9"/>
      <c r="Q28" s="7"/>
    </row>
    <row r="29" spans="1:22" s="8" customFormat="1" ht="20" hidden="1" customHeight="1" x14ac:dyDescent="0.5">
      <c r="A29" s="20"/>
      <c r="B29" s="28"/>
      <c r="C29" s="22"/>
      <c r="D29" s="16"/>
      <c r="E29" s="22"/>
      <c r="F29" s="22"/>
      <c r="G29" s="22"/>
      <c r="H29" s="22"/>
      <c r="I29" s="22"/>
      <c r="J29" s="22"/>
      <c r="K29" s="22"/>
      <c r="L29" s="29"/>
      <c r="M29" s="7"/>
      <c r="N29" s="14"/>
      <c r="O29" s="40"/>
      <c r="P29" s="9"/>
      <c r="Q29" s="7"/>
    </row>
    <row r="30" spans="1:22" s="8" customFormat="1" ht="20" hidden="1" customHeight="1" x14ac:dyDescent="0.5">
      <c r="A30" s="20"/>
      <c r="B30" s="28"/>
      <c r="C30" s="22"/>
      <c r="D30" s="16"/>
      <c r="E30" s="22"/>
      <c r="F30" s="22"/>
      <c r="G30" s="22"/>
      <c r="H30" s="22"/>
      <c r="I30" s="22"/>
      <c r="J30" s="22"/>
      <c r="K30" s="22"/>
      <c r="L30" s="29"/>
      <c r="M30" s="7"/>
      <c r="N30" s="14"/>
      <c r="O30" s="40"/>
      <c r="P30" s="9"/>
      <c r="Q30" s="7"/>
    </row>
    <row r="31" spans="1:22" s="8" customFormat="1" ht="20" hidden="1" customHeight="1" x14ac:dyDescent="0.5">
      <c r="A31" s="20"/>
      <c r="B31" s="28"/>
      <c r="C31" s="22"/>
      <c r="D31" s="16"/>
      <c r="E31" s="22"/>
      <c r="F31" s="22"/>
      <c r="G31" s="22"/>
      <c r="H31" s="22"/>
      <c r="I31" s="22"/>
      <c r="J31" s="22"/>
      <c r="K31" s="22"/>
      <c r="L31" s="29"/>
      <c r="M31" s="7"/>
      <c r="N31" s="14"/>
      <c r="O31" s="40"/>
      <c r="P31" s="9"/>
      <c r="Q31" s="7"/>
    </row>
    <row r="32" spans="1:22" s="8" customFormat="1" ht="20" hidden="1" customHeight="1" x14ac:dyDescent="0.5">
      <c r="A32" s="20"/>
      <c r="B32" s="28"/>
      <c r="C32" s="22"/>
      <c r="D32" s="16"/>
      <c r="E32" s="22"/>
      <c r="F32" s="22"/>
      <c r="G32" s="22"/>
      <c r="H32" s="22"/>
      <c r="I32" s="22"/>
      <c r="J32" s="22"/>
      <c r="K32" s="22"/>
      <c r="L32" s="29"/>
      <c r="M32" s="7"/>
      <c r="N32" s="14"/>
      <c r="O32" s="40"/>
      <c r="P32" s="9"/>
      <c r="Q32" s="7"/>
    </row>
    <row r="33" spans="1:17" s="8" customFormat="1" ht="20" hidden="1" customHeight="1" x14ac:dyDescent="0.5">
      <c r="A33" s="20"/>
      <c r="B33" s="28"/>
      <c r="C33" s="22"/>
      <c r="D33" s="16"/>
      <c r="E33" s="22"/>
      <c r="F33" s="22"/>
      <c r="G33" s="22"/>
      <c r="H33" s="22"/>
      <c r="I33" s="22"/>
      <c r="J33" s="22"/>
      <c r="K33" s="22"/>
      <c r="L33" s="29"/>
      <c r="M33" s="7"/>
      <c r="N33" s="14"/>
      <c r="O33" s="40"/>
      <c r="P33" s="9"/>
      <c r="Q33" s="7"/>
    </row>
    <row r="34" spans="1:17" s="8" customFormat="1" ht="20" hidden="1" customHeight="1" x14ac:dyDescent="0.5">
      <c r="A34" s="20"/>
      <c r="B34" s="28"/>
      <c r="C34" s="22"/>
      <c r="D34" s="16"/>
      <c r="E34" s="22"/>
      <c r="F34" s="22"/>
      <c r="G34" s="22"/>
      <c r="H34" s="22"/>
      <c r="I34" s="22"/>
      <c r="J34" s="22"/>
      <c r="K34" s="22"/>
      <c r="L34" s="29"/>
      <c r="M34" s="7"/>
      <c r="N34" s="14"/>
      <c r="O34" s="40"/>
      <c r="P34" s="9"/>
      <c r="Q34" s="7"/>
    </row>
    <row r="35" spans="1:17" s="8" customFormat="1" ht="20" hidden="1" customHeight="1" x14ac:dyDescent="0.5">
      <c r="A35" s="20"/>
      <c r="B35" s="28"/>
      <c r="C35" s="22"/>
      <c r="D35" s="16"/>
      <c r="E35" s="22"/>
      <c r="F35" s="22"/>
      <c r="G35" s="22"/>
      <c r="H35" s="22"/>
      <c r="I35" s="22"/>
      <c r="J35" s="22"/>
      <c r="K35" s="22"/>
      <c r="L35" s="29"/>
      <c r="M35" s="7"/>
      <c r="N35" s="14"/>
      <c r="O35" s="40"/>
      <c r="P35" s="9"/>
      <c r="Q35" s="7"/>
    </row>
    <row r="36" spans="1:17" s="8" customFormat="1" ht="20" hidden="1" customHeight="1" x14ac:dyDescent="0.5">
      <c r="A36" s="20"/>
      <c r="B36" s="28"/>
      <c r="C36" s="22"/>
      <c r="D36" s="16"/>
      <c r="E36" s="22"/>
      <c r="F36" s="22"/>
      <c r="G36" s="22"/>
      <c r="H36" s="22"/>
      <c r="I36" s="22"/>
      <c r="J36" s="22"/>
      <c r="K36" s="22"/>
      <c r="L36" s="29"/>
      <c r="M36" s="7"/>
      <c r="N36" s="14"/>
      <c r="O36" s="40"/>
      <c r="P36" s="9"/>
      <c r="Q36" s="7"/>
    </row>
    <row r="37" spans="1:17" s="8" customFormat="1" ht="20" hidden="1" customHeight="1" x14ac:dyDescent="0.5">
      <c r="A37" s="20"/>
      <c r="B37" s="28"/>
      <c r="C37" s="22"/>
      <c r="D37" s="16"/>
      <c r="E37" s="22"/>
      <c r="F37" s="22"/>
      <c r="G37" s="22"/>
      <c r="H37" s="22"/>
      <c r="I37" s="22"/>
      <c r="J37" s="22"/>
      <c r="K37" s="22"/>
      <c r="L37" s="29"/>
      <c r="M37" s="7"/>
      <c r="N37" s="14"/>
      <c r="O37" s="40"/>
      <c r="P37" s="9"/>
      <c r="Q37" s="7"/>
    </row>
    <row r="38" spans="1:17" s="8" customFormat="1" ht="20" hidden="1" customHeight="1" x14ac:dyDescent="0.5">
      <c r="A38" s="20"/>
      <c r="B38" s="28"/>
      <c r="C38" s="22"/>
      <c r="D38" s="16"/>
      <c r="E38" s="22"/>
      <c r="F38" s="22"/>
      <c r="G38" s="22"/>
      <c r="H38" s="22"/>
      <c r="I38" s="22"/>
      <c r="J38" s="22"/>
      <c r="K38" s="22"/>
      <c r="L38" s="29"/>
      <c r="M38" s="7"/>
      <c r="N38" s="14"/>
      <c r="O38" s="40"/>
      <c r="P38" s="9"/>
      <c r="Q38" s="7"/>
    </row>
    <row r="39" spans="1:17" s="8" customFormat="1" ht="20" hidden="1" customHeight="1" x14ac:dyDescent="0.5">
      <c r="A39" s="20"/>
      <c r="B39" s="28"/>
      <c r="C39" s="22"/>
      <c r="D39" s="16"/>
      <c r="E39" s="22"/>
      <c r="F39" s="22"/>
      <c r="G39" s="22"/>
      <c r="H39" s="22"/>
      <c r="I39" s="22"/>
      <c r="J39" s="22"/>
      <c r="K39" s="22"/>
      <c r="L39" s="29"/>
      <c r="M39" s="7"/>
      <c r="N39" s="14"/>
      <c r="O39" s="40"/>
      <c r="P39" s="9"/>
      <c r="Q39" s="7"/>
    </row>
    <row r="40" spans="1:17" s="8" customFormat="1" ht="20" hidden="1" customHeight="1" x14ac:dyDescent="0.5">
      <c r="A40" s="20"/>
      <c r="B40" s="28"/>
      <c r="C40" s="22"/>
      <c r="D40" s="16"/>
      <c r="E40" s="22"/>
      <c r="F40" s="22"/>
      <c r="G40" s="22"/>
      <c r="H40" s="22"/>
      <c r="I40" s="22"/>
      <c r="J40" s="22"/>
      <c r="K40" s="22"/>
      <c r="L40" s="29"/>
      <c r="M40" s="7"/>
      <c r="N40" s="14"/>
      <c r="O40" s="40"/>
      <c r="P40" s="9"/>
      <c r="Q40" s="7"/>
    </row>
    <row r="41" spans="1:17" s="8" customFormat="1" ht="20" hidden="1" customHeight="1" x14ac:dyDescent="0.5">
      <c r="A41" s="20"/>
      <c r="B41" s="28"/>
      <c r="C41" s="22"/>
      <c r="D41" s="16"/>
      <c r="E41" s="22"/>
      <c r="F41" s="22"/>
      <c r="G41" s="22"/>
      <c r="H41" s="22"/>
      <c r="I41" s="22"/>
      <c r="J41" s="22"/>
      <c r="K41" s="22"/>
      <c r="L41" s="29"/>
      <c r="M41" s="7"/>
      <c r="N41" s="14"/>
      <c r="O41" s="40"/>
      <c r="P41" s="9"/>
      <c r="Q41" s="7"/>
    </row>
    <row r="42" spans="1:17" s="8" customFormat="1" ht="20" hidden="1" customHeight="1" x14ac:dyDescent="0.5">
      <c r="A42" s="20"/>
      <c r="B42" s="28"/>
      <c r="C42" s="22"/>
      <c r="D42" s="16"/>
      <c r="E42" s="22"/>
      <c r="F42" s="22"/>
      <c r="G42" s="22"/>
      <c r="H42" s="22"/>
      <c r="I42" s="22"/>
      <c r="J42" s="22"/>
      <c r="K42" s="22"/>
      <c r="L42" s="29"/>
      <c r="M42" s="7"/>
      <c r="N42" s="14"/>
      <c r="O42" s="40"/>
      <c r="P42" s="9"/>
      <c r="Q42" s="7"/>
    </row>
    <row r="43" spans="1:17" s="8" customFormat="1" ht="20" hidden="1" customHeight="1" x14ac:dyDescent="0.5">
      <c r="A43" s="20"/>
      <c r="B43" s="28"/>
      <c r="C43" s="22"/>
      <c r="D43" s="16"/>
      <c r="E43" s="22"/>
      <c r="F43" s="22"/>
      <c r="G43" s="22"/>
      <c r="H43" s="22"/>
      <c r="I43" s="22"/>
      <c r="J43" s="22"/>
      <c r="K43" s="22"/>
      <c r="L43" s="29"/>
      <c r="M43" s="7"/>
      <c r="N43" s="14"/>
      <c r="O43" s="40"/>
      <c r="P43" s="9"/>
      <c r="Q43" s="7"/>
    </row>
    <row r="44" spans="1:17" s="8" customFormat="1" ht="20" hidden="1" customHeight="1" x14ac:dyDescent="0.5">
      <c r="A44" s="20"/>
      <c r="B44" s="28"/>
      <c r="C44" s="22"/>
      <c r="D44" s="16"/>
      <c r="E44" s="22"/>
      <c r="F44" s="22"/>
      <c r="G44" s="22"/>
      <c r="H44" s="22"/>
      <c r="I44" s="22"/>
      <c r="J44" s="22"/>
      <c r="K44" s="22"/>
      <c r="L44" s="29"/>
      <c r="M44" s="7"/>
      <c r="N44" s="14"/>
      <c r="O44" s="40"/>
      <c r="P44" s="9"/>
      <c r="Q44" s="7"/>
    </row>
    <row r="45" spans="1:17" s="8" customFormat="1" ht="20" hidden="1" customHeight="1" x14ac:dyDescent="0.5">
      <c r="A45" s="20"/>
      <c r="B45" s="28"/>
      <c r="C45" s="22"/>
      <c r="D45" s="16"/>
      <c r="E45" s="22"/>
      <c r="F45" s="22"/>
      <c r="G45" s="22"/>
      <c r="H45" s="22"/>
      <c r="I45" s="22"/>
      <c r="J45" s="22"/>
      <c r="K45" s="22"/>
      <c r="L45" s="29"/>
      <c r="M45" s="7"/>
      <c r="N45" s="14"/>
      <c r="O45" s="40"/>
      <c r="P45" s="9"/>
      <c r="Q45" s="7"/>
    </row>
    <row r="46" spans="1:17" s="8" customFormat="1" ht="20" hidden="1" customHeight="1" x14ac:dyDescent="0.5">
      <c r="A46" s="20"/>
      <c r="B46" s="28"/>
      <c r="C46" s="22"/>
      <c r="D46" s="16"/>
      <c r="E46" s="22"/>
      <c r="F46" s="22"/>
      <c r="G46" s="22"/>
      <c r="H46" s="22"/>
      <c r="I46" s="22"/>
      <c r="J46" s="22"/>
      <c r="K46" s="22"/>
      <c r="L46" s="29"/>
      <c r="M46" s="7"/>
      <c r="N46" s="14"/>
      <c r="O46" s="40"/>
      <c r="P46" s="9"/>
      <c r="Q46" s="7"/>
    </row>
    <row r="47" spans="1:17" s="8" customFormat="1" ht="20" hidden="1" customHeight="1" x14ac:dyDescent="0.5">
      <c r="A47" s="20"/>
      <c r="B47" s="28"/>
      <c r="C47" s="22"/>
      <c r="D47" s="16"/>
      <c r="E47" s="22"/>
      <c r="F47" s="22"/>
      <c r="G47" s="22"/>
      <c r="H47" s="22"/>
      <c r="I47" s="22"/>
      <c r="J47" s="22"/>
      <c r="K47" s="22"/>
      <c r="L47" s="29"/>
      <c r="M47" s="7"/>
      <c r="N47" s="14"/>
      <c r="O47" s="40"/>
      <c r="P47" s="9"/>
      <c r="Q47" s="7"/>
    </row>
    <row r="48" spans="1:17" s="8" customFormat="1" ht="20" hidden="1" customHeight="1" x14ac:dyDescent="0.5">
      <c r="A48" s="20"/>
      <c r="B48" s="28"/>
      <c r="C48" s="22"/>
      <c r="D48" s="16"/>
      <c r="E48" s="22"/>
      <c r="F48" s="22"/>
      <c r="G48" s="22"/>
      <c r="H48" s="22"/>
      <c r="I48" s="22"/>
      <c r="J48" s="22"/>
      <c r="K48" s="22"/>
      <c r="L48" s="29"/>
      <c r="M48" s="7"/>
      <c r="N48" s="14"/>
      <c r="O48" s="40"/>
      <c r="P48" s="9"/>
      <c r="Q48" s="7"/>
    </row>
    <row r="49" spans="1:17" s="8" customFormat="1" ht="20" hidden="1" customHeight="1" x14ac:dyDescent="0.5">
      <c r="A49" s="20"/>
      <c r="B49" s="28"/>
      <c r="C49" s="22"/>
      <c r="D49" s="16"/>
      <c r="E49" s="22"/>
      <c r="F49" s="22"/>
      <c r="G49" s="22"/>
      <c r="H49" s="22"/>
      <c r="I49" s="22"/>
      <c r="J49" s="22"/>
      <c r="K49" s="22"/>
      <c r="L49" s="29"/>
      <c r="M49" s="7"/>
      <c r="N49" s="14"/>
      <c r="O49" s="40"/>
      <c r="P49" s="9"/>
      <c r="Q49" s="7"/>
    </row>
    <row r="50" spans="1:17" s="8" customFormat="1" ht="20" hidden="1" customHeight="1" x14ac:dyDescent="0.5">
      <c r="A50" s="20"/>
      <c r="B50" s="28"/>
      <c r="C50" s="22"/>
      <c r="D50" s="16"/>
      <c r="E50" s="22"/>
      <c r="F50" s="22"/>
      <c r="G50" s="22"/>
      <c r="H50" s="22"/>
      <c r="I50" s="22"/>
      <c r="J50" s="22"/>
      <c r="K50" s="22"/>
      <c r="L50" s="29"/>
      <c r="M50" s="7"/>
      <c r="N50" s="14"/>
      <c r="O50" s="40"/>
      <c r="P50" s="9"/>
      <c r="Q50" s="7"/>
    </row>
    <row r="51" spans="1:17" s="8" customFormat="1" ht="20" hidden="1" customHeight="1" x14ac:dyDescent="0.5">
      <c r="A51" s="20"/>
      <c r="B51" s="28"/>
      <c r="C51" s="22"/>
      <c r="D51" s="16"/>
      <c r="E51" s="22"/>
      <c r="F51" s="22"/>
      <c r="G51" s="22"/>
      <c r="H51" s="22"/>
      <c r="I51" s="22"/>
      <c r="J51" s="22"/>
      <c r="K51" s="22"/>
      <c r="L51" s="29"/>
      <c r="M51" s="7"/>
      <c r="N51" s="14"/>
      <c r="O51" s="40"/>
      <c r="P51" s="9"/>
      <c r="Q51" s="7"/>
    </row>
    <row r="52" spans="1:17" s="8" customFormat="1" ht="20" hidden="1" customHeight="1" x14ac:dyDescent="0.5">
      <c r="A52" s="20"/>
      <c r="B52" s="28"/>
      <c r="C52" s="22"/>
      <c r="D52" s="16"/>
      <c r="E52" s="22"/>
      <c r="F52" s="22"/>
      <c r="G52" s="22"/>
      <c r="H52" s="22"/>
      <c r="I52" s="22"/>
      <c r="J52" s="22"/>
      <c r="K52" s="22"/>
      <c r="L52" s="29"/>
      <c r="M52" s="7"/>
      <c r="N52" s="14"/>
      <c r="O52" s="40"/>
      <c r="P52" s="9"/>
      <c r="Q52" s="7"/>
    </row>
    <row r="53" spans="1:17" s="8" customFormat="1" ht="20" hidden="1" customHeight="1" x14ac:dyDescent="0.5">
      <c r="A53" s="20"/>
      <c r="B53" s="28"/>
      <c r="C53" s="22"/>
      <c r="D53" s="16"/>
      <c r="E53" s="22"/>
      <c r="F53" s="22"/>
      <c r="G53" s="22"/>
      <c r="H53" s="22"/>
      <c r="I53" s="22"/>
      <c r="J53" s="22"/>
      <c r="K53" s="22"/>
      <c r="L53" s="29"/>
      <c r="M53" s="7"/>
      <c r="N53" s="14"/>
      <c r="O53" s="40"/>
      <c r="P53" s="9"/>
      <c r="Q53" s="7"/>
    </row>
    <row r="54" spans="1:17" s="8" customFormat="1" ht="20" hidden="1" customHeight="1" x14ac:dyDescent="0.5">
      <c r="A54" s="20"/>
      <c r="B54" s="28"/>
      <c r="C54" s="22"/>
      <c r="D54" s="16"/>
      <c r="E54" s="22"/>
      <c r="F54" s="22"/>
      <c r="G54" s="22"/>
      <c r="H54" s="22"/>
      <c r="I54" s="22"/>
      <c r="J54" s="22"/>
      <c r="K54" s="22"/>
      <c r="L54" s="29"/>
      <c r="M54" s="7"/>
      <c r="N54" s="14"/>
      <c r="O54" s="40"/>
      <c r="P54" s="9"/>
      <c r="Q54" s="7"/>
    </row>
    <row r="55" spans="1:17" s="8" customFormat="1" ht="20" hidden="1" customHeight="1" x14ac:dyDescent="0.5">
      <c r="A55" s="20"/>
      <c r="B55" s="28"/>
      <c r="C55" s="22"/>
      <c r="D55" s="16"/>
      <c r="E55" s="22"/>
      <c r="F55" s="22"/>
      <c r="G55" s="22"/>
      <c r="H55" s="22"/>
      <c r="I55" s="22"/>
      <c r="J55" s="22"/>
      <c r="K55" s="22"/>
      <c r="L55" s="29"/>
      <c r="M55" s="7"/>
      <c r="N55" s="14"/>
      <c r="O55" s="40"/>
      <c r="P55" s="9"/>
      <c r="Q55" s="7"/>
    </row>
    <row r="56" spans="1:17" s="8" customFormat="1" ht="20" hidden="1" customHeight="1" x14ac:dyDescent="0.5">
      <c r="A56" s="20"/>
      <c r="B56" s="28"/>
      <c r="C56" s="22"/>
      <c r="D56" s="16"/>
      <c r="E56" s="22"/>
      <c r="F56" s="22"/>
      <c r="G56" s="22"/>
      <c r="H56" s="22"/>
      <c r="I56" s="22"/>
      <c r="J56" s="22"/>
      <c r="K56" s="22"/>
      <c r="L56" s="29"/>
      <c r="M56" s="7"/>
      <c r="N56" s="14"/>
      <c r="O56" s="40"/>
      <c r="P56" s="9"/>
      <c r="Q56" s="7"/>
    </row>
    <row r="57" spans="1:17" s="8" customFormat="1" ht="20" hidden="1" customHeight="1" x14ac:dyDescent="0.5">
      <c r="A57" s="20"/>
      <c r="B57" s="28"/>
      <c r="C57" s="22"/>
      <c r="D57" s="16"/>
      <c r="E57" s="22"/>
      <c r="F57" s="22"/>
      <c r="G57" s="22"/>
      <c r="H57" s="22"/>
      <c r="I57" s="22"/>
      <c r="J57" s="22"/>
      <c r="K57" s="22"/>
      <c r="L57" s="29"/>
      <c r="M57" s="7"/>
      <c r="N57" s="14"/>
      <c r="O57" s="40"/>
      <c r="P57" s="9"/>
      <c r="Q57" s="7"/>
    </row>
    <row r="58" spans="1:17" s="8" customFormat="1" ht="20" hidden="1" customHeight="1" x14ac:dyDescent="0.5">
      <c r="A58" s="20"/>
      <c r="B58" s="28"/>
      <c r="C58" s="22"/>
      <c r="D58" s="16"/>
      <c r="E58" s="22"/>
      <c r="F58" s="22"/>
      <c r="G58" s="22"/>
      <c r="H58" s="22"/>
      <c r="I58" s="22"/>
      <c r="J58" s="22"/>
      <c r="K58" s="22"/>
      <c r="L58" s="29"/>
      <c r="M58" s="7"/>
      <c r="N58" s="14"/>
      <c r="O58" s="40"/>
      <c r="P58" s="9"/>
      <c r="Q58" s="7"/>
    </row>
    <row r="59" spans="1:17" s="8" customFormat="1" ht="20" hidden="1" customHeight="1" x14ac:dyDescent="0.5">
      <c r="A59" s="20"/>
      <c r="B59" s="28"/>
      <c r="C59" s="22"/>
      <c r="D59" s="16"/>
      <c r="E59" s="22"/>
      <c r="F59" s="22"/>
      <c r="G59" s="22"/>
      <c r="H59" s="22"/>
      <c r="I59" s="22"/>
      <c r="J59" s="22"/>
      <c r="K59" s="22"/>
      <c r="L59" s="29"/>
      <c r="M59" s="7"/>
      <c r="N59" s="14"/>
      <c r="O59" s="40"/>
      <c r="P59" s="9"/>
      <c r="Q59" s="7"/>
    </row>
    <row r="60" spans="1:17" s="8" customFormat="1" ht="20" hidden="1" customHeight="1" x14ac:dyDescent="0.5">
      <c r="A60" s="20"/>
      <c r="B60" s="28"/>
      <c r="C60" s="22"/>
      <c r="D60" s="16"/>
      <c r="E60" s="22"/>
      <c r="F60" s="22"/>
      <c r="G60" s="22"/>
      <c r="H60" s="22"/>
      <c r="I60" s="22"/>
      <c r="J60" s="22"/>
      <c r="K60" s="22"/>
      <c r="L60" s="29"/>
      <c r="M60" s="7"/>
      <c r="N60" s="14"/>
      <c r="O60" s="40"/>
      <c r="P60" s="9"/>
      <c r="Q60" s="7"/>
    </row>
    <row r="61" spans="1:17" s="8" customFormat="1" ht="20" hidden="1" customHeight="1" x14ac:dyDescent="0.5">
      <c r="A61" s="20"/>
      <c r="B61" s="28"/>
      <c r="C61" s="22"/>
      <c r="D61" s="16"/>
      <c r="E61" s="22"/>
      <c r="F61" s="22"/>
      <c r="G61" s="22"/>
      <c r="H61" s="22"/>
      <c r="I61" s="22"/>
      <c r="J61" s="22"/>
      <c r="K61" s="22"/>
      <c r="L61" s="29"/>
      <c r="M61" s="7"/>
      <c r="N61" s="14"/>
      <c r="O61" s="40"/>
      <c r="P61" s="9"/>
      <c r="Q61" s="7"/>
    </row>
    <row r="62" spans="1:17" s="8" customFormat="1" ht="20" hidden="1" customHeight="1" x14ac:dyDescent="0.5">
      <c r="A62" s="20"/>
      <c r="B62" s="28"/>
      <c r="C62" s="22"/>
      <c r="D62" s="16"/>
      <c r="E62" s="22"/>
      <c r="F62" s="22"/>
      <c r="G62" s="22"/>
      <c r="H62" s="22"/>
      <c r="I62" s="22"/>
      <c r="J62" s="22"/>
      <c r="K62" s="22"/>
      <c r="L62" s="29"/>
      <c r="M62" s="7"/>
      <c r="N62" s="14"/>
      <c r="O62" s="40"/>
      <c r="P62" s="9"/>
      <c r="Q62" s="7"/>
    </row>
    <row r="63" spans="1:17" s="8" customFormat="1" ht="20" hidden="1" customHeight="1" x14ac:dyDescent="0.5">
      <c r="A63" s="20"/>
      <c r="B63" s="28"/>
      <c r="C63" s="22"/>
      <c r="D63" s="16"/>
      <c r="E63" s="22"/>
      <c r="F63" s="22"/>
      <c r="G63" s="22"/>
      <c r="H63" s="22"/>
      <c r="I63" s="22"/>
      <c r="J63" s="22"/>
      <c r="K63" s="22"/>
      <c r="L63" s="29"/>
      <c r="M63" s="7"/>
      <c r="N63" s="14"/>
      <c r="O63" s="40"/>
      <c r="P63" s="9"/>
      <c r="Q63" s="7"/>
    </row>
    <row r="64" spans="1:17" s="8" customFormat="1" ht="20" hidden="1" customHeight="1" x14ac:dyDescent="0.5">
      <c r="A64" s="20"/>
      <c r="B64" s="28"/>
      <c r="C64" s="22"/>
      <c r="D64" s="16"/>
      <c r="E64" s="22"/>
      <c r="F64" s="22"/>
      <c r="G64" s="22"/>
      <c r="H64" s="22"/>
      <c r="I64" s="22"/>
      <c r="J64" s="22"/>
      <c r="K64" s="22"/>
      <c r="L64" s="29"/>
      <c r="M64" s="7"/>
      <c r="N64" s="14"/>
      <c r="O64" s="40"/>
      <c r="P64" s="9"/>
      <c r="Q64" s="7"/>
    </row>
    <row r="65" spans="1:17" s="8" customFormat="1" ht="20" hidden="1" customHeight="1" x14ac:dyDescent="0.5">
      <c r="A65" s="20"/>
      <c r="B65" s="28"/>
      <c r="C65" s="22"/>
      <c r="D65" s="16"/>
      <c r="E65" s="22"/>
      <c r="F65" s="22"/>
      <c r="G65" s="22"/>
      <c r="H65" s="22"/>
      <c r="I65" s="22"/>
      <c r="J65" s="22"/>
      <c r="K65" s="22"/>
      <c r="L65" s="29"/>
      <c r="M65" s="7"/>
      <c r="N65" s="14"/>
      <c r="O65" s="40"/>
      <c r="P65" s="9"/>
      <c r="Q65" s="7"/>
    </row>
    <row r="66" spans="1:17" s="8" customFormat="1" ht="20" hidden="1" customHeight="1" x14ac:dyDescent="0.5">
      <c r="A66" s="20"/>
      <c r="B66" s="28"/>
      <c r="C66" s="22"/>
      <c r="D66" s="16"/>
      <c r="E66" s="22"/>
      <c r="F66" s="22"/>
      <c r="G66" s="22"/>
      <c r="H66" s="22"/>
      <c r="I66" s="22"/>
      <c r="J66" s="22"/>
      <c r="K66" s="22"/>
      <c r="L66" s="29"/>
      <c r="M66" s="7"/>
      <c r="N66" s="14"/>
      <c r="O66" s="40"/>
      <c r="P66" s="9"/>
      <c r="Q66" s="7"/>
    </row>
    <row r="67" spans="1:17" s="8" customFormat="1" ht="20" hidden="1" customHeight="1" x14ac:dyDescent="0.5">
      <c r="A67" s="20"/>
      <c r="B67" s="28"/>
      <c r="C67" s="22"/>
      <c r="D67" s="16"/>
      <c r="E67" s="22"/>
      <c r="F67" s="22"/>
      <c r="G67" s="22"/>
      <c r="H67" s="22"/>
      <c r="I67" s="22"/>
      <c r="J67" s="22"/>
      <c r="K67" s="22"/>
      <c r="L67" s="29"/>
      <c r="M67" s="7"/>
      <c r="N67" s="14"/>
      <c r="O67" s="40"/>
      <c r="P67" s="9"/>
      <c r="Q67" s="7"/>
    </row>
    <row r="68" spans="1:17" s="8" customFormat="1" ht="20" hidden="1" customHeight="1" x14ac:dyDescent="0.5">
      <c r="A68" s="20"/>
      <c r="B68" s="28"/>
      <c r="C68" s="22"/>
      <c r="D68" s="16"/>
      <c r="E68" s="22"/>
      <c r="F68" s="22"/>
      <c r="G68" s="22"/>
      <c r="H68" s="22"/>
      <c r="I68" s="22"/>
      <c r="J68" s="22"/>
      <c r="K68" s="22"/>
      <c r="L68" s="29"/>
      <c r="M68" s="7"/>
      <c r="N68" s="14"/>
      <c r="O68" s="40"/>
      <c r="P68" s="9"/>
      <c r="Q68" s="7"/>
    </row>
    <row r="69" spans="1:17" s="8" customFormat="1" ht="20" hidden="1" customHeight="1" x14ac:dyDescent="0.5">
      <c r="A69" s="20"/>
      <c r="B69" s="28"/>
      <c r="C69" s="22"/>
      <c r="D69" s="16"/>
      <c r="E69" s="22"/>
      <c r="F69" s="22"/>
      <c r="G69" s="22"/>
      <c r="H69" s="22"/>
      <c r="I69" s="22"/>
      <c r="J69" s="22"/>
      <c r="K69" s="22"/>
      <c r="L69" s="29"/>
      <c r="M69" s="7"/>
      <c r="N69" s="14"/>
      <c r="O69" s="40"/>
      <c r="P69" s="9"/>
      <c r="Q69" s="7"/>
    </row>
    <row r="70" spans="1:17" s="8" customFormat="1" ht="20" hidden="1" customHeight="1" x14ac:dyDescent="0.5">
      <c r="A70" s="20"/>
      <c r="B70" s="28"/>
      <c r="C70" s="22"/>
      <c r="D70" s="16"/>
      <c r="E70" s="22"/>
      <c r="F70" s="22"/>
      <c r="G70" s="22"/>
      <c r="H70" s="22"/>
      <c r="I70" s="22"/>
      <c r="J70" s="22"/>
      <c r="K70" s="22"/>
      <c r="L70" s="29"/>
      <c r="M70" s="7"/>
      <c r="N70" s="14"/>
      <c r="O70" s="40"/>
      <c r="P70" s="9"/>
      <c r="Q70" s="7"/>
    </row>
    <row r="71" spans="1:17" s="8" customFormat="1" ht="20" hidden="1" customHeight="1" x14ac:dyDescent="0.5">
      <c r="A71" s="20"/>
      <c r="B71" s="28"/>
      <c r="C71" s="22"/>
      <c r="D71" s="16"/>
      <c r="E71" s="22"/>
      <c r="F71" s="22"/>
      <c r="G71" s="22"/>
      <c r="H71" s="22"/>
      <c r="I71" s="22"/>
      <c r="J71" s="22"/>
      <c r="K71" s="22"/>
      <c r="L71" s="29"/>
      <c r="M71" s="7"/>
      <c r="N71" s="14"/>
      <c r="O71" s="40"/>
      <c r="P71" s="9"/>
      <c r="Q71" s="7"/>
    </row>
    <row r="72" spans="1:17" s="8" customFormat="1" ht="20" hidden="1" customHeight="1" x14ac:dyDescent="0.5">
      <c r="A72" s="20"/>
      <c r="B72" s="28"/>
      <c r="C72" s="22"/>
      <c r="D72" s="16"/>
      <c r="E72" s="22"/>
      <c r="F72" s="22"/>
      <c r="G72" s="22"/>
      <c r="H72" s="22"/>
      <c r="I72" s="22"/>
      <c r="J72" s="22"/>
      <c r="K72" s="22"/>
      <c r="L72" s="29"/>
      <c r="M72" s="7"/>
      <c r="N72" s="14"/>
      <c r="O72" s="40"/>
      <c r="P72" s="9"/>
      <c r="Q72" s="7"/>
    </row>
    <row r="73" spans="1:17" s="8" customFormat="1" ht="20" hidden="1" customHeight="1" x14ac:dyDescent="0.5">
      <c r="A73" s="20"/>
      <c r="B73" s="28"/>
      <c r="C73" s="22"/>
      <c r="D73" s="16"/>
      <c r="E73" s="22"/>
      <c r="F73" s="22"/>
      <c r="G73" s="22"/>
      <c r="H73" s="22"/>
      <c r="I73" s="22"/>
      <c r="J73" s="22"/>
      <c r="K73" s="22"/>
      <c r="L73" s="29"/>
      <c r="M73" s="7"/>
      <c r="N73" s="14"/>
      <c r="O73" s="40"/>
      <c r="P73" s="9"/>
      <c r="Q73" s="7"/>
    </row>
    <row r="74" spans="1:17" s="8" customFormat="1" ht="20" hidden="1" customHeight="1" x14ac:dyDescent="0.5">
      <c r="A74" s="20"/>
      <c r="B74" s="28"/>
      <c r="C74" s="22"/>
      <c r="D74" s="16"/>
      <c r="E74" s="22"/>
      <c r="F74" s="22"/>
      <c r="G74" s="22"/>
      <c r="H74" s="22"/>
      <c r="I74" s="22"/>
      <c r="J74" s="22"/>
      <c r="K74" s="22"/>
      <c r="L74" s="29"/>
      <c r="M74" s="7"/>
      <c r="N74" s="14"/>
      <c r="O74" s="40"/>
      <c r="P74" s="9"/>
      <c r="Q74" s="7"/>
    </row>
    <row r="75" spans="1:17" s="8" customFormat="1" ht="20" hidden="1" customHeight="1" x14ac:dyDescent="0.5">
      <c r="A75" s="20"/>
      <c r="B75" s="28"/>
      <c r="C75" s="22"/>
      <c r="D75" s="16"/>
      <c r="E75" s="22"/>
      <c r="F75" s="22"/>
      <c r="G75" s="22"/>
      <c r="H75" s="22"/>
      <c r="I75" s="22"/>
      <c r="J75" s="22"/>
      <c r="K75" s="22"/>
      <c r="L75" s="29"/>
      <c r="M75" s="7"/>
      <c r="N75" s="14"/>
      <c r="O75" s="40"/>
      <c r="P75" s="9"/>
      <c r="Q75" s="7"/>
    </row>
    <row r="76" spans="1:17" s="8" customFormat="1" ht="20" hidden="1" customHeight="1" x14ac:dyDescent="0.5">
      <c r="A76" s="20"/>
      <c r="B76" s="28"/>
      <c r="C76" s="22"/>
      <c r="D76" s="16"/>
      <c r="E76" s="22"/>
      <c r="F76" s="22"/>
      <c r="G76" s="22"/>
      <c r="H76" s="22"/>
      <c r="I76" s="22"/>
      <c r="J76" s="22"/>
      <c r="K76" s="22"/>
      <c r="L76" s="29"/>
      <c r="M76" s="7"/>
      <c r="N76" s="14"/>
      <c r="O76" s="40"/>
      <c r="P76" s="9"/>
      <c r="Q76" s="7"/>
    </row>
    <row r="77" spans="1:17" s="8" customFormat="1" ht="20" hidden="1" customHeight="1" x14ac:dyDescent="0.5">
      <c r="A77" s="20"/>
      <c r="B77" s="28"/>
      <c r="C77" s="22"/>
      <c r="D77" s="16"/>
      <c r="E77" s="22"/>
      <c r="F77" s="22"/>
      <c r="G77" s="22"/>
      <c r="H77" s="22"/>
      <c r="I77" s="22"/>
      <c r="J77" s="22"/>
      <c r="K77" s="22"/>
      <c r="L77" s="29"/>
      <c r="M77" s="7"/>
      <c r="N77" s="14"/>
      <c r="O77" s="40"/>
      <c r="P77" s="9"/>
      <c r="Q77" s="7"/>
    </row>
    <row r="78" spans="1:17" s="8" customFormat="1" ht="20" hidden="1" customHeight="1" x14ac:dyDescent="0.5">
      <c r="A78" s="20"/>
      <c r="B78" s="28"/>
      <c r="C78" s="22"/>
      <c r="D78" s="16"/>
      <c r="E78" s="22"/>
      <c r="F78" s="22"/>
      <c r="G78" s="22"/>
      <c r="H78" s="22"/>
      <c r="I78" s="22"/>
      <c r="J78" s="22"/>
      <c r="K78" s="22"/>
      <c r="L78" s="29"/>
      <c r="M78" s="7"/>
      <c r="N78" s="14"/>
      <c r="O78" s="40"/>
      <c r="P78" s="9"/>
      <c r="Q78" s="7"/>
    </row>
    <row r="79" spans="1:17" s="8" customFormat="1" ht="20" hidden="1" customHeight="1" x14ac:dyDescent="0.5">
      <c r="A79" s="20"/>
      <c r="B79" s="28"/>
      <c r="C79" s="22"/>
      <c r="D79" s="16"/>
      <c r="E79" s="22"/>
      <c r="F79" s="22"/>
      <c r="G79" s="22"/>
      <c r="H79" s="22"/>
      <c r="I79" s="22"/>
      <c r="J79" s="22"/>
      <c r="K79" s="22"/>
      <c r="L79" s="29"/>
      <c r="M79" s="7"/>
      <c r="N79" s="14"/>
      <c r="O79" s="40"/>
      <c r="P79" s="9"/>
      <c r="Q79" s="7"/>
    </row>
    <row r="80" spans="1:17" s="8" customFormat="1" ht="20" hidden="1" customHeight="1" x14ac:dyDescent="0.5">
      <c r="A80" s="20"/>
      <c r="B80" s="28"/>
      <c r="C80" s="22"/>
      <c r="D80" s="16"/>
      <c r="E80" s="22"/>
      <c r="F80" s="22"/>
      <c r="G80" s="22"/>
      <c r="H80" s="22"/>
      <c r="I80" s="22"/>
      <c r="J80" s="22"/>
      <c r="K80" s="22"/>
      <c r="L80" s="29"/>
      <c r="M80" s="7"/>
      <c r="N80" s="14"/>
      <c r="O80" s="40"/>
      <c r="P80" s="9"/>
      <c r="Q80" s="7"/>
    </row>
    <row r="81" spans="1:17" s="8" customFormat="1" ht="20" hidden="1" customHeight="1" x14ac:dyDescent="0.5">
      <c r="A81" s="20"/>
      <c r="B81" s="28"/>
      <c r="C81" s="22"/>
      <c r="D81" s="16"/>
      <c r="E81" s="22"/>
      <c r="F81" s="22"/>
      <c r="G81" s="22"/>
      <c r="H81" s="22"/>
      <c r="I81" s="22"/>
      <c r="J81" s="22"/>
      <c r="K81" s="22"/>
      <c r="L81" s="29"/>
      <c r="M81" s="7"/>
      <c r="N81" s="14"/>
      <c r="O81" s="40"/>
      <c r="P81" s="9"/>
      <c r="Q81" s="7"/>
    </row>
    <row r="82" spans="1:17" s="8" customFormat="1" ht="20" hidden="1" customHeight="1" x14ac:dyDescent="0.5">
      <c r="A82" s="20"/>
      <c r="B82" s="28"/>
      <c r="C82" s="22"/>
      <c r="D82" s="16"/>
      <c r="E82" s="22"/>
      <c r="F82" s="22"/>
      <c r="G82" s="22"/>
      <c r="H82" s="22"/>
      <c r="I82" s="22"/>
      <c r="J82" s="22"/>
      <c r="K82" s="22"/>
      <c r="L82" s="29"/>
      <c r="M82" s="7"/>
      <c r="N82" s="14"/>
      <c r="O82" s="40"/>
      <c r="P82" s="9"/>
      <c r="Q82" s="7"/>
    </row>
    <row r="83" spans="1:17" s="8" customFormat="1" ht="20" hidden="1" customHeight="1" x14ac:dyDescent="0.5">
      <c r="A83" s="20"/>
      <c r="B83" s="28"/>
      <c r="C83" s="22"/>
      <c r="D83" s="16"/>
      <c r="E83" s="22"/>
      <c r="F83" s="22"/>
      <c r="G83" s="22"/>
      <c r="H83" s="22"/>
      <c r="I83" s="22"/>
      <c r="J83" s="22"/>
      <c r="K83" s="22"/>
      <c r="L83" s="29"/>
      <c r="M83" s="7"/>
      <c r="N83" s="14"/>
      <c r="O83" s="40"/>
      <c r="P83" s="9"/>
      <c r="Q83" s="7"/>
    </row>
    <row r="84" spans="1:17" s="8" customFormat="1" ht="20" hidden="1" customHeight="1" x14ac:dyDescent="0.5">
      <c r="A84" s="20"/>
      <c r="B84" s="28"/>
      <c r="C84" s="22"/>
      <c r="D84" s="16"/>
      <c r="E84" s="22"/>
      <c r="F84" s="22"/>
      <c r="G84" s="22"/>
      <c r="H84" s="22"/>
      <c r="I84" s="22"/>
      <c r="J84" s="22"/>
      <c r="K84" s="22"/>
      <c r="L84" s="29"/>
      <c r="M84" s="7"/>
      <c r="N84" s="14"/>
      <c r="O84" s="40"/>
      <c r="P84" s="9"/>
      <c r="Q84" s="7"/>
    </row>
    <row r="85" spans="1:17" s="8" customFormat="1" ht="20" hidden="1" customHeight="1" x14ac:dyDescent="0.5">
      <c r="A85" s="20"/>
      <c r="B85" s="28"/>
      <c r="C85" s="22"/>
      <c r="D85" s="16"/>
      <c r="E85" s="22"/>
      <c r="F85" s="22"/>
      <c r="G85" s="22"/>
      <c r="H85" s="22"/>
      <c r="I85" s="22"/>
      <c r="J85" s="22"/>
      <c r="K85" s="22"/>
      <c r="L85" s="29"/>
      <c r="M85" s="7"/>
      <c r="N85" s="14"/>
      <c r="O85" s="40"/>
      <c r="P85" s="9"/>
      <c r="Q85" s="7"/>
    </row>
    <row r="86" spans="1:17" s="8" customFormat="1" ht="20" hidden="1" customHeight="1" x14ac:dyDescent="0.5">
      <c r="A86" s="20"/>
      <c r="B86" s="28"/>
      <c r="C86" s="22"/>
      <c r="D86" s="16"/>
      <c r="E86" s="22"/>
      <c r="F86" s="22"/>
      <c r="G86" s="22"/>
      <c r="H86" s="22"/>
      <c r="I86" s="22"/>
      <c r="J86" s="22"/>
      <c r="K86" s="22"/>
      <c r="L86" s="29"/>
      <c r="M86" s="7"/>
      <c r="N86" s="14"/>
      <c r="O86" s="40"/>
      <c r="P86" s="9"/>
      <c r="Q86" s="7"/>
    </row>
    <row r="87" spans="1:17" s="8" customFormat="1" ht="20" hidden="1" customHeight="1" x14ac:dyDescent="0.5">
      <c r="A87" s="20"/>
      <c r="B87" s="28"/>
      <c r="C87" s="22"/>
      <c r="D87" s="16"/>
      <c r="E87" s="22"/>
      <c r="F87" s="22"/>
      <c r="G87" s="22"/>
      <c r="H87" s="22"/>
      <c r="I87" s="22"/>
      <c r="J87" s="22"/>
      <c r="K87" s="22"/>
      <c r="L87" s="29"/>
      <c r="M87" s="7"/>
      <c r="N87" s="14"/>
      <c r="O87" s="40"/>
      <c r="P87" s="9"/>
      <c r="Q87" s="7"/>
    </row>
    <row r="88" spans="1:17" s="8" customFormat="1" ht="20" hidden="1" customHeight="1" x14ac:dyDescent="0.5">
      <c r="A88" s="20"/>
      <c r="B88" s="28"/>
      <c r="C88" s="22"/>
      <c r="D88" s="16"/>
      <c r="E88" s="22"/>
      <c r="F88" s="22"/>
      <c r="G88" s="22"/>
      <c r="H88" s="22"/>
      <c r="I88" s="22"/>
      <c r="J88" s="22"/>
      <c r="K88" s="22"/>
      <c r="L88" s="29"/>
      <c r="M88" s="7"/>
      <c r="N88" s="14"/>
      <c r="O88" s="40"/>
      <c r="P88" s="9"/>
      <c r="Q88" s="7"/>
    </row>
    <row r="89" spans="1:17" s="8" customFormat="1" ht="20" hidden="1" customHeight="1" x14ac:dyDescent="0.5">
      <c r="A89" s="20"/>
      <c r="B89" s="28"/>
      <c r="C89" s="22"/>
      <c r="D89" s="16"/>
      <c r="E89" s="22"/>
      <c r="F89" s="22"/>
      <c r="G89" s="22"/>
      <c r="H89" s="22"/>
      <c r="I89" s="22"/>
      <c r="J89" s="22"/>
      <c r="K89" s="22"/>
      <c r="L89" s="29"/>
      <c r="M89" s="7"/>
      <c r="N89" s="14"/>
      <c r="O89" s="40"/>
      <c r="P89" s="9"/>
      <c r="Q89" s="7"/>
    </row>
    <row r="90" spans="1:17" s="8" customFormat="1" ht="17.649999999999999" hidden="1" customHeight="1" x14ac:dyDescent="0.5">
      <c r="A90" s="20"/>
      <c r="B90" s="28"/>
      <c r="C90" s="22"/>
      <c r="D90" s="16"/>
      <c r="E90" s="22"/>
      <c r="F90" s="22"/>
      <c r="G90" s="22"/>
      <c r="H90" s="22"/>
      <c r="I90" s="22"/>
      <c r="J90" s="22"/>
      <c r="K90" s="22"/>
      <c r="L90" s="29"/>
      <c r="M90" s="7"/>
      <c r="N90" s="14"/>
      <c r="O90" s="40"/>
      <c r="P90" s="9"/>
      <c r="Q90" s="7"/>
    </row>
    <row r="91" spans="1:17" ht="22.9" hidden="1" customHeight="1" x14ac:dyDescent="0.5"/>
    <row r="92" spans="1:17" ht="22.9" hidden="1" customHeight="1" x14ac:dyDescent="0.5"/>
    <row r="93" spans="1:17" ht="22.9" hidden="1" customHeight="1" x14ac:dyDescent="0.5"/>
  </sheetData>
  <sheetProtection sheet="1" objects="1" scenarios="1"/>
  <dataConsolidate/>
  <mergeCells count="58">
    <mergeCell ref="O13:P13"/>
    <mergeCell ref="Q3:Q4"/>
    <mergeCell ref="A1:Q1"/>
    <mergeCell ref="B2:C2"/>
    <mergeCell ref="E2:F2"/>
    <mergeCell ref="G2:H2"/>
    <mergeCell ref="I2:J2"/>
    <mergeCell ref="B3:B4"/>
    <mergeCell ref="C3:C4"/>
    <mergeCell ref="D3:D4"/>
    <mergeCell ref="E3:F3"/>
    <mergeCell ref="G3:H3"/>
    <mergeCell ref="I3:I4"/>
    <mergeCell ref="J3:K3"/>
    <mergeCell ref="L3:L4"/>
    <mergeCell ref="O12:P12"/>
    <mergeCell ref="B5:D5"/>
    <mergeCell ref="G5:H5"/>
    <mergeCell ref="I5:K5"/>
    <mergeCell ref="O5:P5"/>
    <mergeCell ref="O7:P7"/>
    <mergeCell ref="O8:P8"/>
    <mergeCell ref="O9:P9"/>
    <mergeCell ref="O10:P10"/>
    <mergeCell ref="O11:P11"/>
    <mergeCell ref="N3:N4"/>
    <mergeCell ref="O3:P4"/>
    <mergeCell ref="O15:P15"/>
    <mergeCell ref="O16:P16"/>
    <mergeCell ref="O17:P17"/>
    <mergeCell ref="B18:C18"/>
    <mergeCell ref="E18:F18"/>
    <mergeCell ref="H18:I18"/>
    <mergeCell ref="L18:P18"/>
    <mergeCell ref="B19:C19"/>
    <mergeCell ref="E19:F19"/>
    <mergeCell ref="H19:I19"/>
    <mergeCell ref="N19:P19"/>
    <mergeCell ref="B20:C20"/>
    <mergeCell ref="E20:F20"/>
    <mergeCell ref="H20:I20"/>
    <mergeCell ref="N20:P20"/>
    <mergeCell ref="B25:B26"/>
    <mergeCell ref="C25:H26"/>
    <mergeCell ref="J25:Q25"/>
    <mergeCell ref="J26:Q26"/>
    <mergeCell ref="O6:P6"/>
    <mergeCell ref="O14:P14"/>
    <mergeCell ref="B21:C21"/>
    <mergeCell ref="E21:F21"/>
    <mergeCell ref="L21:P21"/>
    <mergeCell ref="B22:B24"/>
    <mergeCell ref="E22:F22"/>
    <mergeCell ref="N22:P22"/>
    <mergeCell ref="E23:F23"/>
    <mergeCell ref="N23:P23"/>
    <mergeCell ref="E24:F24"/>
    <mergeCell ref="N24:P24"/>
  </mergeCells>
  <phoneticPr fontId="1" type="noConversion"/>
  <conditionalFormatting sqref="N28:O28 N8:O16 I8:I16">
    <cfRule type="cellIs" dxfId="295" priority="303" operator="equal">
      <formula>"×"</formula>
    </cfRule>
    <cfRule type="cellIs" dxfId="294" priority="304" operator="equal">
      <formula>"√"</formula>
    </cfRule>
  </conditionalFormatting>
  <conditionalFormatting sqref="L28 L8:L16">
    <cfRule type="cellIs" dxfId="293" priority="301" operator="equal">
      <formula>"未完成"</formula>
    </cfRule>
    <cfRule type="cellIs" dxfId="292" priority="302" operator="equal">
      <formula>"已完成"</formula>
    </cfRule>
  </conditionalFormatting>
  <conditionalFormatting sqref="D19:D20 N19:N20">
    <cfRule type="cellIs" dxfId="291" priority="295" operator="equal">
      <formula>"×"</formula>
    </cfRule>
    <cfRule type="cellIs" dxfId="290" priority="296" operator="equal">
      <formula>"√"</formula>
    </cfRule>
  </conditionalFormatting>
  <conditionalFormatting sqref="L19:L20">
    <cfRule type="cellIs" dxfId="289" priority="293" operator="equal">
      <formula>"未完成"</formula>
    </cfRule>
    <cfRule type="cellIs" dxfId="288" priority="294" operator="equal">
      <formula>"已完成"</formula>
    </cfRule>
  </conditionalFormatting>
  <conditionalFormatting sqref="L18">
    <cfRule type="cellIs" dxfId="287" priority="289" operator="equal">
      <formula>"未完成"</formula>
    </cfRule>
    <cfRule type="cellIs" dxfId="286" priority="290" operator="equal">
      <formula>"已完成"</formula>
    </cfRule>
  </conditionalFormatting>
  <conditionalFormatting sqref="D18">
    <cfRule type="cellIs" dxfId="285" priority="291" operator="equal">
      <formula>"×"</formula>
    </cfRule>
    <cfRule type="cellIs" dxfId="284" priority="292" operator="equal">
      <formula>"√"</formula>
    </cfRule>
  </conditionalFormatting>
  <conditionalFormatting sqref="N5:O5">
    <cfRule type="cellIs" dxfId="283" priority="283" operator="equal">
      <formula>"×"</formula>
    </cfRule>
    <cfRule type="cellIs" dxfId="282" priority="284" operator="equal">
      <formula>"√"</formula>
    </cfRule>
  </conditionalFormatting>
  <conditionalFormatting sqref="L5">
    <cfRule type="cellIs" dxfId="281" priority="281" operator="equal">
      <formula>"未完成"</formula>
    </cfRule>
    <cfRule type="cellIs" dxfId="280" priority="282" operator="equal">
      <formula>"已完成"</formula>
    </cfRule>
  </conditionalFormatting>
  <conditionalFormatting sqref="N6:N7">
    <cfRule type="cellIs" dxfId="279" priority="279" operator="equal">
      <formula>"×"</formula>
    </cfRule>
    <cfRule type="cellIs" dxfId="278" priority="280" operator="equal">
      <formula>"√"</formula>
    </cfRule>
  </conditionalFormatting>
  <conditionalFormatting sqref="L6:L7">
    <cfRule type="cellIs" dxfId="277" priority="277" operator="equal">
      <formula>"未完成"</formula>
    </cfRule>
    <cfRule type="cellIs" dxfId="276" priority="278" operator="equal">
      <formula>"已完成"</formula>
    </cfRule>
  </conditionalFormatting>
  <conditionalFormatting sqref="I6:I7">
    <cfRule type="cellIs" dxfId="275" priority="275" operator="equal">
      <formula>"×"</formula>
    </cfRule>
    <cfRule type="cellIs" dxfId="274" priority="276" operator="equal">
      <formula>"√"</formula>
    </cfRule>
  </conditionalFormatting>
  <conditionalFormatting sqref="O6:O7">
    <cfRule type="cellIs" dxfId="273" priority="273" operator="equal">
      <formula>"×"</formula>
    </cfRule>
    <cfRule type="cellIs" dxfId="272" priority="274" operator="equal">
      <formula>"√"</formula>
    </cfRule>
  </conditionalFormatting>
  <conditionalFormatting sqref="N17">
    <cfRule type="cellIs" dxfId="271" priority="271" operator="equal">
      <formula>"×"</formula>
    </cfRule>
    <cfRule type="cellIs" dxfId="270" priority="272" operator="equal">
      <formula>"√"</formula>
    </cfRule>
  </conditionalFormatting>
  <conditionalFormatting sqref="L17">
    <cfRule type="cellIs" dxfId="269" priority="269" operator="equal">
      <formula>"未完成"</formula>
    </cfRule>
    <cfRule type="cellIs" dxfId="268" priority="270" operator="equal">
      <formula>"已完成"</formula>
    </cfRule>
  </conditionalFormatting>
  <conditionalFormatting sqref="I17">
    <cfRule type="cellIs" dxfId="267" priority="267" operator="equal">
      <formula>"×"</formula>
    </cfRule>
    <cfRule type="cellIs" dxfId="266" priority="268" operator="equal">
      <formula>"√"</formula>
    </cfRule>
  </conditionalFormatting>
  <conditionalFormatting sqref="O17">
    <cfRule type="cellIs" dxfId="265" priority="265" operator="equal">
      <formula>"×"</formula>
    </cfRule>
    <cfRule type="cellIs" dxfId="264" priority="266" operator="equal">
      <formula>"√"</formula>
    </cfRule>
  </conditionalFormatting>
  <conditionalFormatting sqref="N29:O29">
    <cfRule type="cellIs" dxfId="263" priority="263" operator="equal">
      <formula>"×"</formula>
    </cfRule>
    <cfRule type="cellIs" dxfId="262" priority="264" operator="equal">
      <formula>"√"</formula>
    </cfRule>
  </conditionalFormatting>
  <conditionalFormatting sqref="L29">
    <cfRule type="cellIs" dxfId="261" priority="261" operator="equal">
      <formula>"未完成"</formula>
    </cfRule>
    <cfRule type="cellIs" dxfId="260" priority="262" operator="equal">
      <formula>"已完成"</formula>
    </cfRule>
  </conditionalFormatting>
  <conditionalFormatting sqref="N30:O30">
    <cfRule type="cellIs" dxfId="259" priority="259" operator="equal">
      <formula>"×"</formula>
    </cfRule>
    <cfRule type="cellIs" dxfId="258" priority="260" operator="equal">
      <formula>"√"</formula>
    </cfRule>
  </conditionalFormatting>
  <conditionalFormatting sqref="L30">
    <cfRule type="cellIs" dxfId="257" priority="257" operator="equal">
      <formula>"未完成"</formula>
    </cfRule>
    <cfRule type="cellIs" dxfId="256" priority="258" operator="equal">
      <formula>"已完成"</formula>
    </cfRule>
  </conditionalFormatting>
  <conditionalFormatting sqref="N31:O31">
    <cfRule type="cellIs" dxfId="255" priority="255" operator="equal">
      <formula>"×"</formula>
    </cfRule>
    <cfRule type="cellIs" dxfId="254" priority="256" operator="equal">
      <formula>"√"</formula>
    </cfRule>
  </conditionalFormatting>
  <conditionalFormatting sqref="L31">
    <cfRule type="cellIs" dxfId="253" priority="253" operator="equal">
      <formula>"未完成"</formula>
    </cfRule>
    <cfRule type="cellIs" dxfId="252" priority="254" operator="equal">
      <formula>"已完成"</formula>
    </cfRule>
  </conditionalFormatting>
  <conditionalFormatting sqref="N32:O32">
    <cfRule type="cellIs" dxfId="251" priority="251" operator="equal">
      <formula>"×"</formula>
    </cfRule>
    <cfRule type="cellIs" dxfId="250" priority="252" operator="equal">
      <formula>"√"</formula>
    </cfRule>
  </conditionalFormatting>
  <conditionalFormatting sqref="L32">
    <cfRule type="cellIs" dxfId="249" priority="249" operator="equal">
      <formula>"未完成"</formula>
    </cfRule>
    <cfRule type="cellIs" dxfId="248" priority="250" operator="equal">
      <formula>"已完成"</formula>
    </cfRule>
  </conditionalFormatting>
  <conditionalFormatting sqref="N33:O33">
    <cfRule type="cellIs" dxfId="247" priority="247" operator="equal">
      <formula>"×"</formula>
    </cfRule>
    <cfRule type="cellIs" dxfId="246" priority="248" operator="equal">
      <formula>"√"</formula>
    </cfRule>
  </conditionalFormatting>
  <conditionalFormatting sqref="L33">
    <cfRule type="cellIs" dxfId="245" priority="245" operator="equal">
      <formula>"未完成"</formula>
    </cfRule>
    <cfRule type="cellIs" dxfId="244" priority="246" operator="equal">
      <formula>"已完成"</formula>
    </cfRule>
  </conditionalFormatting>
  <conditionalFormatting sqref="N34:O34">
    <cfRule type="cellIs" dxfId="243" priority="243" operator="equal">
      <formula>"×"</formula>
    </cfRule>
    <cfRule type="cellIs" dxfId="242" priority="244" operator="equal">
      <formula>"√"</formula>
    </cfRule>
  </conditionalFormatting>
  <conditionalFormatting sqref="L34">
    <cfRule type="cellIs" dxfId="241" priority="241" operator="equal">
      <formula>"未完成"</formula>
    </cfRule>
    <cfRule type="cellIs" dxfId="240" priority="242" operator="equal">
      <formula>"已完成"</formula>
    </cfRule>
  </conditionalFormatting>
  <conditionalFormatting sqref="N35:O35">
    <cfRule type="cellIs" dxfId="239" priority="239" operator="equal">
      <formula>"×"</formula>
    </cfRule>
    <cfRule type="cellIs" dxfId="238" priority="240" operator="equal">
      <formula>"√"</formula>
    </cfRule>
  </conditionalFormatting>
  <conditionalFormatting sqref="L35">
    <cfRule type="cellIs" dxfId="237" priority="237" operator="equal">
      <formula>"未完成"</formula>
    </cfRule>
    <cfRule type="cellIs" dxfId="236" priority="238" operator="equal">
      <formula>"已完成"</formula>
    </cfRule>
  </conditionalFormatting>
  <conditionalFormatting sqref="N36:O36">
    <cfRule type="cellIs" dxfId="235" priority="235" operator="equal">
      <formula>"×"</formula>
    </cfRule>
    <cfRule type="cellIs" dxfId="234" priority="236" operator="equal">
      <formula>"√"</formula>
    </cfRule>
  </conditionalFormatting>
  <conditionalFormatting sqref="L36">
    <cfRule type="cellIs" dxfId="233" priority="233" operator="equal">
      <formula>"未完成"</formula>
    </cfRule>
    <cfRule type="cellIs" dxfId="232" priority="234" operator="equal">
      <formula>"已完成"</formula>
    </cfRule>
  </conditionalFormatting>
  <conditionalFormatting sqref="N37:O37">
    <cfRule type="cellIs" dxfId="231" priority="231" operator="equal">
      <formula>"×"</formula>
    </cfRule>
    <cfRule type="cellIs" dxfId="230" priority="232" operator="equal">
      <formula>"√"</formula>
    </cfRule>
  </conditionalFormatting>
  <conditionalFormatting sqref="L37">
    <cfRule type="cellIs" dxfId="229" priority="229" operator="equal">
      <formula>"未完成"</formula>
    </cfRule>
    <cfRule type="cellIs" dxfId="228" priority="230" operator="equal">
      <formula>"已完成"</formula>
    </cfRule>
  </conditionalFormatting>
  <conditionalFormatting sqref="N38:O38">
    <cfRule type="cellIs" dxfId="227" priority="227" operator="equal">
      <formula>"×"</formula>
    </cfRule>
    <cfRule type="cellIs" dxfId="226" priority="228" operator="equal">
      <formula>"√"</formula>
    </cfRule>
  </conditionalFormatting>
  <conditionalFormatting sqref="L38">
    <cfRule type="cellIs" dxfId="225" priority="225" operator="equal">
      <formula>"未完成"</formula>
    </cfRule>
    <cfRule type="cellIs" dxfId="224" priority="226" operator="equal">
      <formula>"已完成"</formula>
    </cfRule>
  </conditionalFormatting>
  <conditionalFormatting sqref="N39:O39">
    <cfRule type="cellIs" dxfId="223" priority="223" operator="equal">
      <formula>"×"</formula>
    </cfRule>
    <cfRule type="cellIs" dxfId="222" priority="224" operator="equal">
      <formula>"√"</formula>
    </cfRule>
  </conditionalFormatting>
  <conditionalFormatting sqref="L39">
    <cfRule type="cellIs" dxfId="221" priority="221" operator="equal">
      <formula>"未完成"</formula>
    </cfRule>
    <cfRule type="cellIs" dxfId="220" priority="222" operator="equal">
      <formula>"已完成"</formula>
    </cfRule>
  </conditionalFormatting>
  <conditionalFormatting sqref="N40:O40">
    <cfRule type="cellIs" dxfId="219" priority="219" operator="equal">
      <formula>"×"</formula>
    </cfRule>
    <cfRule type="cellIs" dxfId="218" priority="220" operator="equal">
      <formula>"√"</formula>
    </cfRule>
  </conditionalFormatting>
  <conditionalFormatting sqref="L40">
    <cfRule type="cellIs" dxfId="217" priority="217" operator="equal">
      <formula>"未完成"</formula>
    </cfRule>
    <cfRule type="cellIs" dxfId="216" priority="218" operator="equal">
      <formula>"已完成"</formula>
    </cfRule>
  </conditionalFormatting>
  <conditionalFormatting sqref="N41:O41">
    <cfRule type="cellIs" dxfId="215" priority="215" operator="equal">
      <formula>"×"</formula>
    </cfRule>
    <cfRule type="cellIs" dxfId="214" priority="216" operator="equal">
      <formula>"√"</formula>
    </cfRule>
  </conditionalFormatting>
  <conditionalFormatting sqref="L41">
    <cfRule type="cellIs" dxfId="213" priority="213" operator="equal">
      <formula>"未完成"</formula>
    </cfRule>
    <cfRule type="cellIs" dxfId="212" priority="214" operator="equal">
      <formula>"已完成"</formula>
    </cfRule>
  </conditionalFormatting>
  <conditionalFormatting sqref="N42:O42">
    <cfRule type="cellIs" dxfId="211" priority="211" operator="equal">
      <formula>"×"</formula>
    </cfRule>
    <cfRule type="cellIs" dxfId="210" priority="212" operator="equal">
      <formula>"√"</formula>
    </cfRule>
  </conditionalFormatting>
  <conditionalFormatting sqref="L42">
    <cfRule type="cellIs" dxfId="209" priority="209" operator="equal">
      <formula>"未完成"</formula>
    </cfRule>
    <cfRule type="cellIs" dxfId="208" priority="210" operator="equal">
      <formula>"已完成"</formula>
    </cfRule>
  </conditionalFormatting>
  <conditionalFormatting sqref="N43:O43">
    <cfRule type="cellIs" dxfId="207" priority="207" operator="equal">
      <formula>"×"</formula>
    </cfRule>
    <cfRule type="cellIs" dxfId="206" priority="208" operator="equal">
      <formula>"√"</formula>
    </cfRule>
  </conditionalFormatting>
  <conditionalFormatting sqref="L43">
    <cfRule type="cellIs" dxfId="205" priority="205" operator="equal">
      <formula>"未完成"</formula>
    </cfRule>
    <cfRule type="cellIs" dxfId="204" priority="206" operator="equal">
      <formula>"已完成"</formula>
    </cfRule>
  </conditionalFormatting>
  <conditionalFormatting sqref="N44:O44">
    <cfRule type="cellIs" dxfId="203" priority="203" operator="equal">
      <formula>"×"</formula>
    </cfRule>
    <cfRule type="cellIs" dxfId="202" priority="204" operator="equal">
      <formula>"√"</formula>
    </cfRule>
  </conditionalFormatting>
  <conditionalFormatting sqref="L44">
    <cfRule type="cellIs" dxfId="201" priority="201" operator="equal">
      <formula>"未完成"</formula>
    </cfRule>
    <cfRule type="cellIs" dxfId="200" priority="202" operator="equal">
      <formula>"已完成"</formula>
    </cfRule>
  </conditionalFormatting>
  <conditionalFormatting sqref="N45:O45">
    <cfRule type="cellIs" dxfId="199" priority="199" operator="equal">
      <formula>"×"</formula>
    </cfRule>
    <cfRule type="cellIs" dxfId="198" priority="200" operator="equal">
      <formula>"√"</formula>
    </cfRule>
  </conditionalFormatting>
  <conditionalFormatting sqref="L45">
    <cfRule type="cellIs" dxfId="197" priority="197" operator="equal">
      <formula>"未完成"</formula>
    </cfRule>
    <cfRule type="cellIs" dxfId="196" priority="198" operator="equal">
      <formula>"已完成"</formula>
    </cfRule>
  </conditionalFormatting>
  <conditionalFormatting sqref="N46:O46">
    <cfRule type="cellIs" dxfId="195" priority="195" operator="equal">
      <formula>"×"</formula>
    </cfRule>
    <cfRule type="cellIs" dxfId="194" priority="196" operator="equal">
      <formula>"√"</formula>
    </cfRule>
  </conditionalFormatting>
  <conditionalFormatting sqref="L46">
    <cfRule type="cellIs" dxfId="193" priority="193" operator="equal">
      <formula>"未完成"</formula>
    </cfRule>
    <cfRule type="cellIs" dxfId="192" priority="194" operator="equal">
      <formula>"已完成"</formula>
    </cfRule>
  </conditionalFormatting>
  <conditionalFormatting sqref="N47:O47">
    <cfRule type="cellIs" dxfId="191" priority="191" operator="equal">
      <formula>"×"</formula>
    </cfRule>
    <cfRule type="cellIs" dxfId="190" priority="192" operator="equal">
      <formula>"√"</formula>
    </cfRule>
  </conditionalFormatting>
  <conditionalFormatting sqref="L47">
    <cfRule type="cellIs" dxfId="189" priority="189" operator="equal">
      <formula>"未完成"</formula>
    </cfRule>
    <cfRule type="cellIs" dxfId="188" priority="190" operator="equal">
      <formula>"已完成"</formula>
    </cfRule>
  </conditionalFormatting>
  <conditionalFormatting sqref="N48:O48">
    <cfRule type="cellIs" dxfId="187" priority="187" operator="equal">
      <formula>"×"</formula>
    </cfRule>
    <cfRule type="cellIs" dxfId="186" priority="188" operator="equal">
      <formula>"√"</formula>
    </cfRule>
  </conditionalFormatting>
  <conditionalFormatting sqref="L48">
    <cfRule type="cellIs" dxfId="185" priority="185" operator="equal">
      <formula>"未完成"</formula>
    </cfRule>
    <cfRule type="cellIs" dxfId="184" priority="186" operator="equal">
      <formula>"已完成"</formula>
    </cfRule>
  </conditionalFormatting>
  <conditionalFormatting sqref="N49:O49">
    <cfRule type="cellIs" dxfId="183" priority="183" operator="equal">
      <formula>"×"</formula>
    </cfRule>
    <cfRule type="cellIs" dxfId="182" priority="184" operator="equal">
      <formula>"√"</formula>
    </cfRule>
  </conditionalFormatting>
  <conditionalFormatting sqref="L49">
    <cfRule type="cellIs" dxfId="181" priority="181" operator="equal">
      <formula>"未完成"</formula>
    </cfRule>
    <cfRule type="cellIs" dxfId="180" priority="182" operator="equal">
      <formula>"已完成"</formula>
    </cfRule>
  </conditionalFormatting>
  <conditionalFormatting sqref="N50:O50">
    <cfRule type="cellIs" dxfId="179" priority="179" operator="equal">
      <formula>"×"</formula>
    </cfRule>
    <cfRule type="cellIs" dxfId="178" priority="180" operator="equal">
      <formula>"√"</formula>
    </cfRule>
  </conditionalFormatting>
  <conditionalFormatting sqref="L50">
    <cfRule type="cellIs" dxfId="177" priority="177" operator="equal">
      <formula>"未完成"</formula>
    </cfRule>
    <cfRule type="cellIs" dxfId="176" priority="178" operator="equal">
      <formula>"已完成"</formula>
    </cfRule>
  </conditionalFormatting>
  <conditionalFormatting sqref="N51:O51">
    <cfRule type="cellIs" dxfId="175" priority="175" operator="equal">
      <formula>"×"</formula>
    </cfRule>
    <cfRule type="cellIs" dxfId="174" priority="176" operator="equal">
      <formula>"√"</formula>
    </cfRule>
  </conditionalFormatting>
  <conditionalFormatting sqref="L51">
    <cfRule type="cellIs" dxfId="173" priority="173" operator="equal">
      <formula>"未完成"</formula>
    </cfRule>
    <cfRule type="cellIs" dxfId="172" priority="174" operator="equal">
      <formula>"已完成"</formula>
    </cfRule>
  </conditionalFormatting>
  <conditionalFormatting sqref="N52:O52">
    <cfRule type="cellIs" dxfId="171" priority="171" operator="equal">
      <formula>"×"</formula>
    </cfRule>
    <cfRule type="cellIs" dxfId="170" priority="172" operator="equal">
      <formula>"√"</formula>
    </cfRule>
  </conditionalFormatting>
  <conditionalFormatting sqref="L52">
    <cfRule type="cellIs" dxfId="169" priority="169" operator="equal">
      <formula>"未完成"</formula>
    </cfRule>
    <cfRule type="cellIs" dxfId="168" priority="170" operator="equal">
      <formula>"已完成"</formula>
    </cfRule>
  </conditionalFormatting>
  <conditionalFormatting sqref="N53:O53">
    <cfRule type="cellIs" dxfId="167" priority="167" operator="equal">
      <formula>"×"</formula>
    </cfRule>
    <cfRule type="cellIs" dxfId="166" priority="168" operator="equal">
      <formula>"√"</formula>
    </cfRule>
  </conditionalFormatting>
  <conditionalFormatting sqref="L53">
    <cfRule type="cellIs" dxfId="165" priority="165" operator="equal">
      <formula>"未完成"</formula>
    </cfRule>
    <cfRule type="cellIs" dxfId="164" priority="166" operator="equal">
      <formula>"已完成"</formula>
    </cfRule>
  </conditionalFormatting>
  <conditionalFormatting sqref="N54:O54">
    <cfRule type="cellIs" dxfId="163" priority="163" operator="equal">
      <formula>"×"</formula>
    </cfRule>
    <cfRule type="cellIs" dxfId="162" priority="164" operator="equal">
      <formula>"√"</formula>
    </cfRule>
  </conditionalFormatting>
  <conditionalFormatting sqref="L54">
    <cfRule type="cellIs" dxfId="161" priority="161" operator="equal">
      <formula>"未完成"</formula>
    </cfRule>
    <cfRule type="cellIs" dxfId="160" priority="162" operator="equal">
      <formula>"已完成"</formula>
    </cfRule>
  </conditionalFormatting>
  <conditionalFormatting sqref="N55:O55">
    <cfRule type="cellIs" dxfId="159" priority="159" operator="equal">
      <formula>"×"</formula>
    </cfRule>
    <cfRule type="cellIs" dxfId="158" priority="160" operator="equal">
      <formula>"√"</formula>
    </cfRule>
  </conditionalFormatting>
  <conditionalFormatting sqref="L55">
    <cfRule type="cellIs" dxfId="157" priority="157" operator="equal">
      <formula>"未完成"</formula>
    </cfRule>
    <cfRule type="cellIs" dxfId="156" priority="158" operator="equal">
      <formula>"已完成"</formula>
    </cfRule>
  </conditionalFormatting>
  <conditionalFormatting sqref="N56:O56">
    <cfRule type="cellIs" dxfId="155" priority="155" operator="equal">
      <formula>"×"</formula>
    </cfRule>
    <cfRule type="cellIs" dxfId="154" priority="156" operator="equal">
      <formula>"√"</formula>
    </cfRule>
  </conditionalFormatting>
  <conditionalFormatting sqref="L56">
    <cfRule type="cellIs" dxfId="153" priority="153" operator="equal">
      <formula>"未完成"</formula>
    </cfRule>
    <cfRule type="cellIs" dxfId="152" priority="154" operator="equal">
      <formula>"已完成"</formula>
    </cfRule>
  </conditionalFormatting>
  <conditionalFormatting sqref="N57:O57">
    <cfRule type="cellIs" dxfId="151" priority="151" operator="equal">
      <formula>"×"</formula>
    </cfRule>
    <cfRule type="cellIs" dxfId="150" priority="152" operator="equal">
      <formula>"√"</formula>
    </cfRule>
  </conditionalFormatting>
  <conditionalFormatting sqref="L57">
    <cfRule type="cellIs" dxfId="149" priority="149" operator="equal">
      <formula>"未完成"</formula>
    </cfRule>
    <cfRule type="cellIs" dxfId="148" priority="150" operator="equal">
      <formula>"已完成"</formula>
    </cfRule>
  </conditionalFormatting>
  <conditionalFormatting sqref="N58:O58">
    <cfRule type="cellIs" dxfId="147" priority="147" operator="equal">
      <formula>"×"</formula>
    </cfRule>
    <cfRule type="cellIs" dxfId="146" priority="148" operator="equal">
      <formula>"√"</formula>
    </cfRule>
  </conditionalFormatting>
  <conditionalFormatting sqref="L58">
    <cfRule type="cellIs" dxfId="145" priority="145" operator="equal">
      <formula>"未完成"</formula>
    </cfRule>
    <cfRule type="cellIs" dxfId="144" priority="146" operator="equal">
      <formula>"已完成"</formula>
    </cfRule>
  </conditionalFormatting>
  <conditionalFormatting sqref="N59:O59">
    <cfRule type="cellIs" dxfId="143" priority="143" operator="equal">
      <formula>"×"</formula>
    </cfRule>
    <cfRule type="cellIs" dxfId="142" priority="144" operator="equal">
      <formula>"√"</formula>
    </cfRule>
  </conditionalFormatting>
  <conditionalFormatting sqref="L59">
    <cfRule type="cellIs" dxfId="141" priority="141" operator="equal">
      <formula>"未完成"</formula>
    </cfRule>
    <cfRule type="cellIs" dxfId="140" priority="142" operator="equal">
      <formula>"已完成"</formula>
    </cfRule>
  </conditionalFormatting>
  <conditionalFormatting sqref="N60:O60">
    <cfRule type="cellIs" dxfId="139" priority="139" operator="equal">
      <formula>"×"</formula>
    </cfRule>
    <cfRule type="cellIs" dxfId="138" priority="140" operator="equal">
      <formula>"√"</formula>
    </cfRule>
  </conditionalFormatting>
  <conditionalFormatting sqref="L60">
    <cfRule type="cellIs" dxfId="137" priority="137" operator="equal">
      <formula>"未完成"</formula>
    </cfRule>
    <cfRule type="cellIs" dxfId="136" priority="138" operator="equal">
      <formula>"已完成"</formula>
    </cfRule>
  </conditionalFormatting>
  <conditionalFormatting sqref="N61:O61">
    <cfRule type="cellIs" dxfId="135" priority="135" operator="equal">
      <formula>"×"</formula>
    </cfRule>
    <cfRule type="cellIs" dxfId="134" priority="136" operator="equal">
      <formula>"√"</formula>
    </cfRule>
  </conditionalFormatting>
  <conditionalFormatting sqref="L61">
    <cfRule type="cellIs" dxfId="133" priority="133" operator="equal">
      <formula>"未完成"</formula>
    </cfRule>
    <cfRule type="cellIs" dxfId="132" priority="134" operator="equal">
      <formula>"已完成"</formula>
    </cfRule>
  </conditionalFormatting>
  <conditionalFormatting sqref="N62:O62">
    <cfRule type="cellIs" dxfId="131" priority="131" operator="equal">
      <formula>"×"</formula>
    </cfRule>
    <cfRule type="cellIs" dxfId="130" priority="132" operator="equal">
      <formula>"√"</formula>
    </cfRule>
  </conditionalFormatting>
  <conditionalFormatting sqref="L62">
    <cfRule type="cellIs" dxfId="129" priority="129" operator="equal">
      <formula>"未完成"</formula>
    </cfRule>
    <cfRule type="cellIs" dxfId="128" priority="130" operator="equal">
      <formula>"已完成"</formula>
    </cfRule>
  </conditionalFormatting>
  <conditionalFormatting sqref="N63:O63">
    <cfRule type="cellIs" dxfId="127" priority="127" operator="equal">
      <formula>"×"</formula>
    </cfRule>
    <cfRule type="cellIs" dxfId="126" priority="128" operator="equal">
      <formula>"√"</formula>
    </cfRule>
  </conditionalFormatting>
  <conditionalFormatting sqref="L63">
    <cfRule type="cellIs" dxfId="125" priority="125" operator="equal">
      <formula>"未完成"</formula>
    </cfRule>
    <cfRule type="cellIs" dxfId="124" priority="126" operator="equal">
      <formula>"已完成"</formula>
    </cfRule>
  </conditionalFormatting>
  <conditionalFormatting sqref="N64:O64">
    <cfRule type="cellIs" dxfId="123" priority="123" operator="equal">
      <formula>"×"</formula>
    </cfRule>
    <cfRule type="cellIs" dxfId="122" priority="124" operator="equal">
      <formula>"√"</formula>
    </cfRule>
  </conditionalFormatting>
  <conditionalFormatting sqref="L64">
    <cfRule type="cellIs" dxfId="121" priority="121" operator="equal">
      <formula>"未完成"</formula>
    </cfRule>
    <cfRule type="cellIs" dxfId="120" priority="122" operator="equal">
      <formula>"已完成"</formula>
    </cfRule>
  </conditionalFormatting>
  <conditionalFormatting sqref="N65:O65">
    <cfRule type="cellIs" dxfId="119" priority="119" operator="equal">
      <formula>"×"</formula>
    </cfRule>
    <cfRule type="cellIs" dxfId="118" priority="120" operator="equal">
      <formula>"√"</formula>
    </cfRule>
  </conditionalFormatting>
  <conditionalFormatting sqref="L65">
    <cfRule type="cellIs" dxfId="117" priority="117" operator="equal">
      <formula>"未完成"</formula>
    </cfRule>
    <cfRule type="cellIs" dxfId="116" priority="118" operator="equal">
      <formula>"已完成"</formula>
    </cfRule>
  </conditionalFormatting>
  <conditionalFormatting sqref="N66:O66">
    <cfRule type="cellIs" dxfId="115" priority="115" operator="equal">
      <formula>"×"</formula>
    </cfRule>
    <cfRule type="cellIs" dxfId="114" priority="116" operator="equal">
      <formula>"√"</formula>
    </cfRule>
  </conditionalFormatting>
  <conditionalFormatting sqref="L66">
    <cfRule type="cellIs" dxfId="113" priority="113" operator="equal">
      <formula>"未完成"</formula>
    </cfRule>
    <cfRule type="cellIs" dxfId="112" priority="114" operator="equal">
      <formula>"已完成"</formula>
    </cfRule>
  </conditionalFormatting>
  <conditionalFormatting sqref="N67:O67">
    <cfRule type="cellIs" dxfId="111" priority="111" operator="equal">
      <formula>"×"</formula>
    </cfRule>
    <cfRule type="cellIs" dxfId="110" priority="112" operator="equal">
      <formula>"√"</formula>
    </cfRule>
  </conditionalFormatting>
  <conditionalFormatting sqref="L67">
    <cfRule type="cellIs" dxfId="109" priority="109" operator="equal">
      <formula>"未完成"</formula>
    </cfRule>
    <cfRule type="cellIs" dxfId="108" priority="110" operator="equal">
      <formula>"已完成"</formula>
    </cfRule>
  </conditionalFormatting>
  <conditionalFormatting sqref="N68:O68">
    <cfRule type="cellIs" dxfId="107" priority="107" operator="equal">
      <formula>"×"</formula>
    </cfRule>
    <cfRule type="cellIs" dxfId="106" priority="108" operator="equal">
      <formula>"√"</formula>
    </cfRule>
  </conditionalFormatting>
  <conditionalFormatting sqref="L68">
    <cfRule type="cellIs" dxfId="105" priority="105" operator="equal">
      <formula>"未完成"</formula>
    </cfRule>
    <cfRule type="cellIs" dxfId="104" priority="106" operator="equal">
      <formula>"已完成"</formula>
    </cfRule>
  </conditionalFormatting>
  <conditionalFormatting sqref="N69:O69">
    <cfRule type="cellIs" dxfId="103" priority="103" operator="equal">
      <formula>"×"</formula>
    </cfRule>
    <cfRule type="cellIs" dxfId="102" priority="104" operator="equal">
      <formula>"√"</formula>
    </cfRule>
  </conditionalFormatting>
  <conditionalFormatting sqref="L69">
    <cfRule type="cellIs" dxfId="101" priority="101" operator="equal">
      <formula>"未完成"</formula>
    </cfRule>
    <cfRule type="cellIs" dxfId="100" priority="102" operator="equal">
      <formula>"已完成"</formula>
    </cfRule>
  </conditionalFormatting>
  <conditionalFormatting sqref="N70:O70">
    <cfRule type="cellIs" dxfId="99" priority="99" operator="equal">
      <formula>"×"</formula>
    </cfRule>
    <cfRule type="cellIs" dxfId="98" priority="100" operator="equal">
      <formula>"√"</formula>
    </cfRule>
  </conditionalFormatting>
  <conditionalFormatting sqref="L70">
    <cfRule type="cellIs" dxfId="97" priority="97" operator="equal">
      <formula>"未完成"</formula>
    </cfRule>
    <cfRule type="cellIs" dxfId="96" priority="98" operator="equal">
      <formula>"已完成"</formula>
    </cfRule>
  </conditionalFormatting>
  <conditionalFormatting sqref="N71:O71">
    <cfRule type="cellIs" dxfId="95" priority="95" operator="equal">
      <formula>"×"</formula>
    </cfRule>
    <cfRule type="cellIs" dxfId="94" priority="96" operator="equal">
      <formula>"√"</formula>
    </cfRule>
  </conditionalFormatting>
  <conditionalFormatting sqref="L71">
    <cfRule type="cellIs" dxfId="93" priority="93" operator="equal">
      <formula>"未完成"</formula>
    </cfRule>
    <cfRule type="cellIs" dxfId="92" priority="94" operator="equal">
      <formula>"已完成"</formula>
    </cfRule>
  </conditionalFormatting>
  <conditionalFormatting sqref="N72:O72">
    <cfRule type="cellIs" dxfId="91" priority="91" operator="equal">
      <formula>"×"</formula>
    </cfRule>
    <cfRule type="cellIs" dxfId="90" priority="92" operator="equal">
      <formula>"√"</formula>
    </cfRule>
  </conditionalFormatting>
  <conditionalFormatting sqref="L72">
    <cfRule type="cellIs" dxfId="89" priority="89" operator="equal">
      <formula>"未完成"</formula>
    </cfRule>
    <cfRule type="cellIs" dxfId="88" priority="90" operator="equal">
      <formula>"已完成"</formula>
    </cfRule>
  </conditionalFormatting>
  <conditionalFormatting sqref="N73:O73">
    <cfRule type="cellIs" dxfId="87" priority="87" operator="equal">
      <formula>"×"</formula>
    </cfRule>
    <cfRule type="cellIs" dxfId="86" priority="88" operator="equal">
      <formula>"√"</formula>
    </cfRule>
  </conditionalFormatting>
  <conditionalFormatting sqref="L73">
    <cfRule type="cellIs" dxfId="85" priority="85" operator="equal">
      <formula>"未完成"</formula>
    </cfRule>
    <cfRule type="cellIs" dxfId="84" priority="86" operator="equal">
      <formula>"已完成"</formula>
    </cfRule>
  </conditionalFormatting>
  <conditionalFormatting sqref="N74:O74">
    <cfRule type="cellIs" dxfId="83" priority="83" operator="equal">
      <formula>"×"</formula>
    </cfRule>
    <cfRule type="cellIs" dxfId="82" priority="84" operator="equal">
      <formula>"√"</formula>
    </cfRule>
  </conditionalFormatting>
  <conditionalFormatting sqref="L74">
    <cfRule type="cellIs" dxfId="81" priority="81" operator="equal">
      <formula>"未完成"</formula>
    </cfRule>
    <cfRule type="cellIs" dxfId="80" priority="82" operator="equal">
      <formula>"已完成"</formula>
    </cfRule>
  </conditionalFormatting>
  <conditionalFormatting sqref="N75:O75">
    <cfRule type="cellIs" dxfId="79" priority="79" operator="equal">
      <formula>"×"</formula>
    </cfRule>
    <cfRule type="cellIs" dxfId="78" priority="80" operator="equal">
      <formula>"√"</formula>
    </cfRule>
  </conditionalFormatting>
  <conditionalFormatting sqref="L75">
    <cfRule type="cellIs" dxfId="77" priority="77" operator="equal">
      <formula>"未完成"</formula>
    </cfRule>
    <cfRule type="cellIs" dxfId="76" priority="78" operator="equal">
      <formula>"已完成"</formula>
    </cfRule>
  </conditionalFormatting>
  <conditionalFormatting sqref="N76:O76">
    <cfRule type="cellIs" dxfId="75" priority="75" operator="equal">
      <formula>"×"</formula>
    </cfRule>
    <cfRule type="cellIs" dxfId="74" priority="76" operator="equal">
      <formula>"√"</formula>
    </cfRule>
  </conditionalFormatting>
  <conditionalFormatting sqref="L76">
    <cfRule type="cellIs" dxfId="73" priority="73" operator="equal">
      <formula>"未完成"</formula>
    </cfRule>
    <cfRule type="cellIs" dxfId="72" priority="74" operator="equal">
      <formula>"已完成"</formula>
    </cfRule>
  </conditionalFormatting>
  <conditionalFormatting sqref="N77:O77">
    <cfRule type="cellIs" dxfId="71" priority="71" operator="equal">
      <formula>"×"</formula>
    </cfRule>
    <cfRule type="cellIs" dxfId="70" priority="72" operator="equal">
      <formula>"√"</formula>
    </cfRule>
  </conditionalFormatting>
  <conditionalFormatting sqref="L77">
    <cfRule type="cellIs" dxfId="69" priority="69" operator="equal">
      <formula>"未完成"</formula>
    </cfRule>
    <cfRule type="cellIs" dxfId="68" priority="70" operator="equal">
      <formula>"已完成"</formula>
    </cfRule>
  </conditionalFormatting>
  <conditionalFormatting sqref="N78:O78">
    <cfRule type="cellIs" dxfId="67" priority="67" operator="equal">
      <formula>"×"</formula>
    </cfRule>
    <cfRule type="cellIs" dxfId="66" priority="68" operator="equal">
      <formula>"√"</formula>
    </cfRule>
  </conditionalFormatting>
  <conditionalFormatting sqref="L78">
    <cfRule type="cellIs" dxfId="65" priority="65" operator="equal">
      <formula>"未完成"</formula>
    </cfRule>
    <cfRule type="cellIs" dxfId="64" priority="66" operator="equal">
      <formula>"已完成"</formula>
    </cfRule>
  </conditionalFormatting>
  <conditionalFormatting sqref="N79:O79">
    <cfRule type="cellIs" dxfId="63" priority="63" operator="equal">
      <formula>"×"</formula>
    </cfRule>
    <cfRule type="cellIs" dxfId="62" priority="64" operator="equal">
      <formula>"√"</formula>
    </cfRule>
  </conditionalFormatting>
  <conditionalFormatting sqref="L79">
    <cfRule type="cellIs" dxfId="61" priority="61" operator="equal">
      <formula>"未完成"</formula>
    </cfRule>
    <cfRule type="cellIs" dxfId="60" priority="62" operator="equal">
      <formula>"已完成"</formula>
    </cfRule>
  </conditionalFormatting>
  <conditionalFormatting sqref="N80:O80">
    <cfRule type="cellIs" dxfId="59" priority="59" operator="equal">
      <formula>"×"</formula>
    </cfRule>
    <cfRule type="cellIs" dxfId="58" priority="60" operator="equal">
      <formula>"√"</formula>
    </cfRule>
  </conditionalFormatting>
  <conditionalFormatting sqref="L80">
    <cfRule type="cellIs" dxfId="57" priority="57" operator="equal">
      <formula>"未完成"</formula>
    </cfRule>
    <cfRule type="cellIs" dxfId="56" priority="58" operator="equal">
      <formula>"已完成"</formula>
    </cfRule>
  </conditionalFormatting>
  <conditionalFormatting sqref="N81:O81">
    <cfRule type="cellIs" dxfId="55" priority="55" operator="equal">
      <formula>"×"</formula>
    </cfRule>
    <cfRule type="cellIs" dxfId="54" priority="56" operator="equal">
      <formula>"√"</formula>
    </cfRule>
  </conditionalFormatting>
  <conditionalFormatting sqref="L81">
    <cfRule type="cellIs" dxfId="53" priority="53" operator="equal">
      <formula>"未完成"</formula>
    </cfRule>
    <cfRule type="cellIs" dxfId="52" priority="54" operator="equal">
      <formula>"已完成"</formula>
    </cfRule>
  </conditionalFormatting>
  <conditionalFormatting sqref="N82:O82">
    <cfRule type="cellIs" dxfId="51" priority="51" operator="equal">
      <formula>"×"</formula>
    </cfRule>
    <cfRule type="cellIs" dxfId="50" priority="52" operator="equal">
      <formula>"√"</formula>
    </cfRule>
  </conditionalFormatting>
  <conditionalFormatting sqref="L82">
    <cfRule type="cellIs" dxfId="49" priority="49" operator="equal">
      <formula>"未完成"</formula>
    </cfRule>
    <cfRule type="cellIs" dxfId="48" priority="50" operator="equal">
      <formula>"已完成"</formula>
    </cfRule>
  </conditionalFormatting>
  <conditionalFormatting sqref="N83:O83">
    <cfRule type="cellIs" dxfId="47" priority="47" operator="equal">
      <formula>"×"</formula>
    </cfRule>
    <cfRule type="cellIs" dxfId="46" priority="48" operator="equal">
      <formula>"√"</formula>
    </cfRule>
  </conditionalFormatting>
  <conditionalFormatting sqref="L83">
    <cfRule type="cellIs" dxfId="45" priority="45" operator="equal">
      <formula>"未完成"</formula>
    </cfRule>
    <cfRule type="cellIs" dxfId="44" priority="46" operator="equal">
      <formula>"已完成"</formula>
    </cfRule>
  </conditionalFormatting>
  <conditionalFormatting sqref="N84:O84">
    <cfRule type="cellIs" dxfId="43" priority="43" operator="equal">
      <formula>"×"</formula>
    </cfRule>
    <cfRule type="cellIs" dxfId="42" priority="44" operator="equal">
      <formula>"√"</formula>
    </cfRule>
  </conditionalFormatting>
  <conditionalFormatting sqref="L84">
    <cfRule type="cellIs" dxfId="41" priority="41" operator="equal">
      <formula>"未完成"</formula>
    </cfRule>
    <cfRule type="cellIs" dxfId="40" priority="42" operator="equal">
      <formula>"已完成"</formula>
    </cfRule>
  </conditionalFormatting>
  <conditionalFormatting sqref="N85:O85">
    <cfRule type="cellIs" dxfId="39" priority="39" operator="equal">
      <formula>"×"</formula>
    </cfRule>
    <cfRule type="cellIs" dxfId="38" priority="40" operator="equal">
      <formula>"√"</formula>
    </cfRule>
  </conditionalFormatting>
  <conditionalFormatting sqref="L85">
    <cfRule type="cellIs" dxfId="37" priority="37" operator="equal">
      <formula>"未完成"</formula>
    </cfRule>
    <cfRule type="cellIs" dxfId="36" priority="38" operator="equal">
      <formula>"已完成"</formula>
    </cfRule>
  </conditionalFormatting>
  <conditionalFormatting sqref="N86:O86">
    <cfRule type="cellIs" dxfId="35" priority="35" operator="equal">
      <formula>"×"</formula>
    </cfRule>
    <cfRule type="cellIs" dxfId="34" priority="36" operator="equal">
      <formula>"√"</formula>
    </cfRule>
  </conditionalFormatting>
  <conditionalFormatting sqref="L86">
    <cfRule type="cellIs" dxfId="33" priority="33" operator="equal">
      <formula>"未完成"</formula>
    </cfRule>
    <cfRule type="cellIs" dxfId="32" priority="34" operator="equal">
      <formula>"已完成"</formula>
    </cfRule>
  </conditionalFormatting>
  <conditionalFormatting sqref="N87:O87">
    <cfRule type="cellIs" dxfId="31" priority="31" operator="equal">
      <formula>"×"</formula>
    </cfRule>
    <cfRule type="cellIs" dxfId="30" priority="32" operator="equal">
      <formula>"√"</formula>
    </cfRule>
  </conditionalFormatting>
  <conditionalFormatting sqref="L87">
    <cfRule type="cellIs" dxfId="29" priority="29" operator="equal">
      <formula>"未完成"</formula>
    </cfRule>
    <cfRule type="cellIs" dxfId="28" priority="30" operator="equal">
      <formula>"已完成"</formula>
    </cfRule>
  </conditionalFormatting>
  <conditionalFormatting sqref="N88:O88">
    <cfRule type="cellIs" dxfId="27" priority="27" operator="equal">
      <formula>"×"</formula>
    </cfRule>
    <cfRule type="cellIs" dxfId="26" priority="28" operator="equal">
      <formula>"√"</formula>
    </cfRule>
  </conditionalFormatting>
  <conditionalFormatting sqref="L88">
    <cfRule type="cellIs" dxfId="25" priority="25" operator="equal">
      <formula>"未完成"</formula>
    </cfRule>
    <cfRule type="cellIs" dxfId="24" priority="26" operator="equal">
      <formula>"已完成"</formula>
    </cfRule>
  </conditionalFormatting>
  <conditionalFormatting sqref="N89:O89">
    <cfRule type="cellIs" dxfId="23" priority="23" operator="equal">
      <formula>"×"</formula>
    </cfRule>
    <cfRule type="cellIs" dxfId="22" priority="24" operator="equal">
      <formula>"√"</formula>
    </cfRule>
  </conditionalFormatting>
  <conditionalFormatting sqref="L89">
    <cfRule type="cellIs" dxfId="21" priority="21" operator="equal">
      <formula>"未完成"</formula>
    </cfRule>
    <cfRule type="cellIs" dxfId="20" priority="22" operator="equal">
      <formula>"已完成"</formula>
    </cfRule>
  </conditionalFormatting>
  <conditionalFormatting sqref="N90:O90">
    <cfRule type="cellIs" dxfId="19" priority="19" operator="equal">
      <formula>"×"</formula>
    </cfRule>
    <cfRule type="cellIs" dxfId="18" priority="20" operator="equal">
      <formula>"√"</formula>
    </cfRule>
  </conditionalFormatting>
  <conditionalFormatting sqref="L90">
    <cfRule type="cellIs" dxfId="17" priority="17" operator="equal">
      <formula>"未完成"</formula>
    </cfRule>
    <cfRule type="cellIs" dxfId="16" priority="18" operator="equal">
      <formula>"已完成"</formula>
    </cfRule>
  </conditionalFormatting>
  <conditionalFormatting sqref="N27:O27">
    <cfRule type="cellIs" dxfId="15" priority="15" operator="equal">
      <formula>"×"</formula>
    </cfRule>
    <cfRule type="cellIs" dxfId="14" priority="16" operator="equal">
      <formula>"√"</formula>
    </cfRule>
  </conditionalFormatting>
  <conditionalFormatting sqref="L27">
    <cfRule type="cellIs" dxfId="13" priority="13" operator="equal">
      <formula>"未完成"</formula>
    </cfRule>
    <cfRule type="cellIs" dxfId="12" priority="14" operator="equal">
      <formula>"已完成"</formula>
    </cfRule>
  </conditionalFormatting>
  <conditionalFormatting sqref="L21">
    <cfRule type="cellIs" dxfId="11" priority="9" operator="equal">
      <formula>"未完成"</formula>
    </cfRule>
    <cfRule type="cellIs" dxfId="10" priority="10" operator="equal">
      <formula>"已完成"</formula>
    </cfRule>
  </conditionalFormatting>
  <conditionalFormatting sqref="D21">
    <cfRule type="cellIs" dxfId="9" priority="11" operator="equal">
      <formula>"×"</formula>
    </cfRule>
    <cfRule type="cellIs" dxfId="8" priority="12" operator="equal">
      <formula>"√"</formula>
    </cfRule>
  </conditionalFormatting>
  <conditionalFormatting sqref="D22:D23 N22:N23">
    <cfRule type="cellIs" dxfId="7" priority="7" operator="equal">
      <formula>"×"</formula>
    </cfRule>
    <cfRule type="cellIs" dxfId="6" priority="8" operator="equal">
      <formula>"√"</formula>
    </cfRule>
  </conditionalFormatting>
  <conditionalFormatting sqref="L22:L23">
    <cfRule type="cellIs" dxfId="5" priority="5" operator="equal">
      <formula>"未完成"</formula>
    </cfRule>
    <cfRule type="cellIs" dxfId="4" priority="6" operator="equal">
      <formula>"已完成"</formula>
    </cfRule>
  </conditionalFormatting>
  <conditionalFormatting sqref="D24 N24">
    <cfRule type="cellIs" dxfId="3" priority="3" operator="equal">
      <formula>"×"</formula>
    </cfRule>
    <cfRule type="cellIs" dxfId="2" priority="4" operator="equal">
      <formula>"√"</formula>
    </cfRule>
  </conditionalFormatting>
  <conditionalFormatting sqref="L24">
    <cfRule type="cellIs" dxfId="1" priority="1" operator="equal">
      <formula>"未完成"</formula>
    </cfRule>
    <cfRule type="cellIs" dxfId="0" priority="2" operator="equal">
      <formula>"已完成"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4" name="Button 1">
              <controlPr defaultSize="0" print="0" autoFill="0" autoPict="0" macro="[0]!ab">
                <anchor moveWithCells="1" sizeWithCells="1">
                  <from>
                    <xdr:col>16</xdr:col>
                    <xdr:colOff>152400</xdr:colOff>
                    <xdr:row>1</xdr:row>
                    <xdr:rowOff>9525</xdr:rowOff>
                  </from>
                  <to>
                    <xdr:col>16</xdr:col>
                    <xdr:colOff>1495425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配置!$M$3:$M$5</xm:f>
          </x14:formula1>
          <xm:sqref>I22:I24</xm:sqref>
        </x14:dataValidation>
        <x14:dataValidation type="list" allowBlank="1" showInputMessage="1" showErrorMessage="1">
          <x14:formula1>
            <xm:f>配置!$I$4:$I$8</xm:f>
          </x14:formula1>
          <xm:sqref>E22:F24</xm:sqref>
        </x14:dataValidation>
        <x14:dataValidation type="list" allowBlank="1" showInputMessage="1" showErrorMessage="1">
          <x14:formula1>
            <xm:f>配置!$K$4:$K$8</xm:f>
          </x14:formula1>
          <xm:sqref>C22:C24</xm:sqref>
        </x14:dataValidation>
        <x14:dataValidation type="list" allowBlank="1" showInputMessage="1" showErrorMessage="1">
          <x14:formula1>
            <xm:f>配置!$E$5</xm:f>
          </x14:formula1>
          <xm:sqref>L5</xm:sqref>
        </x14:dataValidation>
        <x14:dataValidation type="list" allowBlank="1" showInputMessage="1" showErrorMessage="1">
          <x14:formula1>
            <xm:f>配置!$G$3:$G$7</xm:f>
          </x14:formula1>
          <xm:sqref>G19:G20 G22:G24</xm:sqref>
        </x14:dataValidation>
        <x14:dataValidation type="list" allowBlank="1" showInputMessage="1" showErrorMessage="1">
          <x14:formula1>
            <xm:f>配置!$E$4:$E$6</xm:f>
          </x14:formula1>
          <xm:sqref>L19:L20 L22:L24</xm:sqref>
        </x14:dataValidation>
        <x14:dataValidation type="list" allowBlank="1" showInputMessage="1" showErrorMessage="1">
          <x14:formula1>
            <xm:f>配置!$E$3:$E$5</xm:f>
          </x14:formula1>
          <xm:sqref>L6:L17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空白表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Sgang19890818@gmail.com</dc:creator>
  <cp:lastModifiedBy>宋景略</cp:lastModifiedBy>
  <cp:lastPrinted>2017-09-05T05:59:06Z</cp:lastPrinted>
  <dcterms:created xsi:type="dcterms:W3CDTF">2015-06-05T18:19:34Z</dcterms:created>
  <dcterms:modified xsi:type="dcterms:W3CDTF">2017-09-24T14:13:24Z</dcterms:modified>
</cp:coreProperties>
</file>