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值班日志\值班日志(经视)\"/>
    </mc:Choice>
  </mc:AlternateContent>
  <bookViews>
    <workbookView xWindow="0" yWindow="60" windowWidth="21600" windowHeight="9795" firstSheet="2" activeTab="2"/>
  </bookViews>
  <sheets>
    <sheet name="配置" sheetId="1" state="veryHidden" r:id="rId1"/>
    <sheet name="mould2" sheetId="59" state="veryHidden" r:id="rId2"/>
    <sheet name="空白表" sheetId="64" r:id="rId3"/>
    <sheet name="mould3" sheetId="67" state="veryHidden" r:id="rId4"/>
    <sheet name="mould4" sheetId="72" state="veryHidden" r:id="rId5"/>
    <sheet name="mould1" sheetId="73" state="veryHidden" r:id="rId6"/>
  </sheets>
  <definedNames>
    <definedName name="_xlnm._FilterDatabase" localSheetId="5" hidden="1">mould1!$B$3:$P$81</definedName>
    <definedName name="_xlnm._FilterDatabase" localSheetId="1" hidden="1">mould2!$B$3:$P$83</definedName>
    <definedName name="_xlnm._FilterDatabase" localSheetId="3" hidden="1">mould3!$B$3:$P$82</definedName>
    <definedName name="_xlnm._FilterDatabase" localSheetId="4" hidden="1">mould4!$B$3:$P$82</definedName>
    <definedName name="SheetName">SUBSTITUTE(GET.DOCUMENT(1),"["&amp;GET.DOCUMENT(88)&amp;"]",)&amp;T(NOW())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59" l="1"/>
  <c r="H17" i="59"/>
  <c r="I17" i="59"/>
  <c r="J17" i="59"/>
  <c r="K17" i="59"/>
  <c r="N17" i="59"/>
  <c r="O17" i="59"/>
  <c r="G18" i="59"/>
  <c r="H18" i="59"/>
  <c r="I18" i="59"/>
  <c r="J18" i="59"/>
  <c r="K18" i="59"/>
  <c r="N18" i="59"/>
  <c r="O18" i="59"/>
  <c r="G19" i="59"/>
  <c r="H19" i="59"/>
  <c r="I19" i="59"/>
  <c r="J19" i="59"/>
  <c r="K19" i="59"/>
  <c r="N19" i="59"/>
  <c r="O19" i="59"/>
  <c r="K11" i="72" l="1"/>
  <c r="G16" i="72"/>
  <c r="H16" i="72"/>
  <c r="I16" i="72"/>
  <c r="J16" i="72"/>
  <c r="K16" i="72"/>
  <c r="N16" i="72"/>
  <c r="O16" i="72"/>
  <c r="G7" i="72"/>
  <c r="H7" i="72"/>
  <c r="I7" i="72"/>
  <c r="J7" i="72"/>
  <c r="K7" i="72"/>
  <c r="N7" i="72"/>
  <c r="O7" i="72"/>
  <c r="G6" i="72"/>
  <c r="H6" i="72"/>
  <c r="I6" i="72"/>
  <c r="J6" i="72"/>
  <c r="K6" i="72"/>
  <c r="N6" i="72"/>
  <c r="O6" i="72"/>
  <c r="G15" i="73"/>
  <c r="H15" i="73"/>
  <c r="I15" i="73"/>
  <c r="J15" i="73"/>
  <c r="K15" i="73"/>
  <c r="N15" i="73"/>
  <c r="O15" i="73"/>
  <c r="G6" i="73"/>
  <c r="H6" i="73"/>
  <c r="I6" i="73"/>
  <c r="J6" i="73"/>
  <c r="K6" i="73"/>
  <c r="N6" i="73"/>
  <c r="O6" i="73"/>
  <c r="K25" i="73"/>
  <c r="H25" i="73"/>
  <c r="K24" i="73"/>
  <c r="H24" i="73"/>
  <c r="K23" i="73"/>
  <c r="H23" i="73"/>
  <c r="N21" i="73"/>
  <c r="K21" i="73"/>
  <c r="J21" i="73"/>
  <c r="N20" i="73"/>
  <c r="K20" i="73"/>
  <c r="J20" i="73"/>
  <c r="O18" i="73"/>
  <c r="N18" i="73"/>
  <c r="K18" i="73"/>
  <c r="J18" i="73"/>
  <c r="I18" i="73"/>
  <c r="H18" i="73"/>
  <c r="G18" i="73"/>
  <c r="O17" i="73"/>
  <c r="N17" i="73"/>
  <c r="K17" i="73"/>
  <c r="J17" i="73"/>
  <c r="I17" i="73"/>
  <c r="H17" i="73"/>
  <c r="G17" i="73"/>
  <c r="O16" i="73"/>
  <c r="N16" i="73"/>
  <c r="K16" i="73"/>
  <c r="J16" i="73"/>
  <c r="I16" i="73"/>
  <c r="H16" i="73"/>
  <c r="G16" i="73"/>
  <c r="O14" i="73"/>
  <c r="N14" i="73"/>
  <c r="K14" i="73"/>
  <c r="J14" i="73"/>
  <c r="I14" i="73"/>
  <c r="H14" i="73"/>
  <c r="G14" i="73"/>
  <c r="O13" i="73"/>
  <c r="N13" i="73"/>
  <c r="K13" i="73"/>
  <c r="J13" i="73"/>
  <c r="I13" i="73"/>
  <c r="H13" i="73"/>
  <c r="G13" i="73"/>
  <c r="O12" i="73"/>
  <c r="N12" i="73"/>
  <c r="K12" i="73"/>
  <c r="J12" i="73"/>
  <c r="I12" i="73"/>
  <c r="H12" i="73"/>
  <c r="G12" i="73"/>
  <c r="O11" i="73"/>
  <c r="N11" i="73"/>
  <c r="K11" i="73"/>
  <c r="J11" i="73"/>
  <c r="I11" i="73"/>
  <c r="H11" i="73"/>
  <c r="G11" i="73"/>
  <c r="O10" i="73"/>
  <c r="N10" i="73"/>
  <c r="K10" i="73"/>
  <c r="J10" i="73"/>
  <c r="I10" i="73"/>
  <c r="H10" i="73"/>
  <c r="G10" i="73"/>
  <c r="O9" i="73"/>
  <c r="N9" i="73"/>
  <c r="K9" i="73"/>
  <c r="J9" i="73"/>
  <c r="I9" i="73"/>
  <c r="H9" i="73"/>
  <c r="G9" i="73"/>
  <c r="O8" i="73"/>
  <c r="N8" i="73"/>
  <c r="K8" i="73"/>
  <c r="J8" i="73"/>
  <c r="I8" i="73"/>
  <c r="H8" i="73"/>
  <c r="G8" i="73"/>
  <c r="O7" i="73"/>
  <c r="N7" i="73"/>
  <c r="K7" i="73"/>
  <c r="J7" i="73"/>
  <c r="I7" i="73"/>
  <c r="H7" i="73"/>
  <c r="G7" i="73"/>
  <c r="O5" i="73"/>
  <c r="N5" i="73"/>
  <c r="I5" i="73"/>
  <c r="G5" i="73"/>
  <c r="K26" i="72"/>
  <c r="H26" i="72"/>
  <c r="K25" i="72"/>
  <c r="H25" i="72"/>
  <c r="K24" i="72"/>
  <c r="H24" i="72"/>
  <c r="N22" i="72"/>
  <c r="K22" i="72"/>
  <c r="J22" i="72"/>
  <c r="N21" i="72"/>
  <c r="K21" i="72"/>
  <c r="J21" i="72"/>
  <c r="O19" i="72"/>
  <c r="N19" i="72"/>
  <c r="K19" i="72"/>
  <c r="J19" i="72"/>
  <c r="I19" i="72"/>
  <c r="H19" i="72"/>
  <c r="G19" i="72"/>
  <c r="O18" i="72"/>
  <c r="N18" i="72"/>
  <c r="K18" i="72"/>
  <c r="J18" i="72"/>
  <c r="I18" i="72"/>
  <c r="H18" i="72"/>
  <c r="G18" i="72"/>
  <c r="O17" i="72"/>
  <c r="N17" i="72"/>
  <c r="K17" i="72"/>
  <c r="J17" i="72"/>
  <c r="I17" i="72"/>
  <c r="H17" i="72"/>
  <c r="G17" i="72"/>
  <c r="O15" i="72"/>
  <c r="N15" i="72"/>
  <c r="K15" i="72"/>
  <c r="J15" i="72"/>
  <c r="I15" i="72"/>
  <c r="H15" i="72"/>
  <c r="G15" i="72"/>
  <c r="O14" i="72"/>
  <c r="N14" i="72"/>
  <c r="K14" i="72"/>
  <c r="J14" i="72"/>
  <c r="I14" i="72"/>
  <c r="H14" i="72"/>
  <c r="G14" i="72"/>
  <c r="O13" i="72"/>
  <c r="N13" i="72"/>
  <c r="K13" i="72"/>
  <c r="J13" i="72"/>
  <c r="I13" i="72"/>
  <c r="H13" i="72"/>
  <c r="G13" i="72"/>
  <c r="O12" i="72"/>
  <c r="N12" i="72"/>
  <c r="K12" i="72"/>
  <c r="J12" i="72"/>
  <c r="I12" i="72"/>
  <c r="H12" i="72"/>
  <c r="G12" i="72"/>
  <c r="O11" i="72"/>
  <c r="N11" i="72"/>
  <c r="J11" i="72"/>
  <c r="I11" i="72"/>
  <c r="H11" i="72"/>
  <c r="G11" i="72"/>
  <c r="O10" i="72"/>
  <c r="N10" i="72"/>
  <c r="K10" i="72"/>
  <c r="J10" i="72"/>
  <c r="I10" i="72"/>
  <c r="H10" i="72"/>
  <c r="G10" i="72"/>
  <c r="O9" i="72"/>
  <c r="N9" i="72"/>
  <c r="K9" i="72"/>
  <c r="J9" i="72"/>
  <c r="I9" i="72"/>
  <c r="H9" i="72"/>
  <c r="G9" i="72"/>
  <c r="O8" i="72"/>
  <c r="N8" i="72"/>
  <c r="K8" i="72"/>
  <c r="J8" i="72"/>
  <c r="I8" i="72"/>
  <c r="H8" i="72"/>
  <c r="G8" i="72"/>
  <c r="O5" i="72"/>
  <c r="N5" i="72"/>
  <c r="I5" i="72"/>
  <c r="G5" i="72"/>
  <c r="A1" i="73"/>
  <c r="A1" i="72"/>
  <c r="H25" i="67" l="1"/>
  <c r="H26" i="67"/>
  <c r="H26" i="59"/>
  <c r="H27" i="59"/>
  <c r="G17" i="67" l="1"/>
  <c r="H17" i="67"/>
  <c r="I17" i="67"/>
  <c r="J17" i="67"/>
  <c r="K17" i="67"/>
  <c r="N17" i="67"/>
  <c r="O17" i="67"/>
  <c r="G18" i="67"/>
  <c r="H18" i="67"/>
  <c r="I18" i="67"/>
  <c r="J18" i="67"/>
  <c r="K18" i="67"/>
  <c r="N18" i="67"/>
  <c r="O18" i="67"/>
  <c r="G19" i="67"/>
  <c r="H19" i="67"/>
  <c r="I19" i="67"/>
  <c r="J19" i="67"/>
  <c r="K19" i="67"/>
  <c r="N19" i="67"/>
  <c r="O19" i="67"/>
  <c r="K26" i="67"/>
  <c r="K25" i="67"/>
  <c r="K24" i="67"/>
  <c r="H24" i="67"/>
  <c r="N22" i="67"/>
  <c r="K22" i="67"/>
  <c r="J22" i="67"/>
  <c r="N21" i="67"/>
  <c r="K21" i="67"/>
  <c r="J21" i="67"/>
  <c r="O16" i="67"/>
  <c r="N16" i="67"/>
  <c r="K16" i="67"/>
  <c r="J16" i="67"/>
  <c r="I16" i="67"/>
  <c r="H16" i="67"/>
  <c r="G16" i="67"/>
  <c r="O15" i="67"/>
  <c r="N15" i="67"/>
  <c r="K15" i="67"/>
  <c r="J15" i="67"/>
  <c r="I15" i="67"/>
  <c r="H15" i="67"/>
  <c r="G15" i="67"/>
  <c r="O14" i="67"/>
  <c r="N14" i="67"/>
  <c r="K14" i="67"/>
  <c r="J14" i="67"/>
  <c r="I14" i="67"/>
  <c r="H14" i="67"/>
  <c r="G14" i="67"/>
  <c r="O13" i="67"/>
  <c r="N13" i="67"/>
  <c r="K13" i="67"/>
  <c r="J13" i="67"/>
  <c r="I13" i="67"/>
  <c r="H13" i="67"/>
  <c r="G13" i="67"/>
  <c r="O12" i="67"/>
  <c r="N12" i="67"/>
  <c r="K12" i="67"/>
  <c r="J12" i="67"/>
  <c r="I12" i="67"/>
  <c r="H12" i="67"/>
  <c r="G12" i="67"/>
  <c r="O11" i="67"/>
  <c r="N11" i="67"/>
  <c r="K11" i="67"/>
  <c r="J11" i="67"/>
  <c r="I11" i="67"/>
  <c r="H11" i="67"/>
  <c r="G11" i="67"/>
  <c r="O10" i="67"/>
  <c r="N10" i="67"/>
  <c r="K10" i="67"/>
  <c r="J10" i="67"/>
  <c r="I10" i="67"/>
  <c r="H10" i="67"/>
  <c r="G10" i="67"/>
  <c r="O9" i="67"/>
  <c r="N9" i="67"/>
  <c r="K9" i="67"/>
  <c r="J9" i="67"/>
  <c r="I9" i="67"/>
  <c r="H9" i="67"/>
  <c r="G9" i="67"/>
  <c r="O8" i="67"/>
  <c r="N8" i="67"/>
  <c r="K8" i="67"/>
  <c r="J8" i="67"/>
  <c r="I8" i="67"/>
  <c r="H8" i="67"/>
  <c r="G8" i="67"/>
  <c r="O7" i="67"/>
  <c r="N7" i="67"/>
  <c r="K7" i="67"/>
  <c r="J7" i="67"/>
  <c r="I7" i="67"/>
  <c r="H7" i="67"/>
  <c r="G7" i="67"/>
  <c r="O6" i="67"/>
  <c r="N6" i="67"/>
  <c r="K6" i="67"/>
  <c r="J6" i="67"/>
  <c r="I6" i="67"/>
  <c r="H6" i="67"/>
  <c r="G6" i="67"/>
  <c r="O5" i="67"/>
  <c r="N5" i="67"/>
  <c r="I5" i="67"/>
  <c r="G5" i="67"/>
  <c r="A1" i="67"/>
  <c r="H25" i="59" l="1"/>
  <c r="K25" i="59"/>
  <c r="K26" i="59"/>
  <c r="K27" i="59"/>
  <c r="N23" i="59"/>
  <c r="K23" i="59"/>
  <c r="J23" i="59"/>
  <c r="N22" i="59"/>
  <c r="K22" i="59"/>
  <c r="J22" i="59"/>
  <c r="O20" i="59"/>
  <c r="N20" i="59"/>
  <c r="K20" i="59"/>
  <c r="J20" i="59"/>
  <c r="I20" i="59"/>
  <c r="H20" i="59"/>
  <c r="G20" i="59"/>
  <c r="O16" i="59"/>
  <c r="N16" i="59"/>
  <c r="K16" i="59"/>
  <c r="J16" i="59"/>
  <c r="I16" i="59"/>
  <c r="H16" i="59"/>
  <c r="G16" i="59"/>
  <c r="O15" i="59"/>
  <c r="N15" i="59"/>
  <c r="K15" i="59"/>
  <c r="J15" i="59"/>
  <c r="I15" i="59"/>
  <c r="H15" i="59"/>
  <c r="G15" i="59"/>
  <c r="O14" i="59"/>
  <c r="N14" i="59"/>
  <c r="K14" i="59"/>
  <c r="J14" i="59"/>
  <c r="I14" i="59"/>
  <c r="H14" i="59"/>
  <c r="G14" i="59"/>
  <c r="O13" i="59"/>
  <c r="N13" i="59"/>
  <c r="K13" i="59"/>
  <c r="J13" i="59"/>
  <c r="I13" i="59"/>
  <c r="H13" i="59"/>
  <c r="G13" i="59"/>
  <c r="O12" i="59"/>
  <c r="N12" i="59"/>
  <c r="K12" i="59"/>
  <c r="J12" i="59"/>
  <c r="I12" i="59"/>
  <c r="H12" i="59"/>
  <c r="G12" i="59"/>
  <c r="O11" i="59"/>
  <c r="N11" i="59"/>
  <c r="K11" i="59"/>
  <c r="J11" i="59"/>
  <c r="I11" i="59"/>
  <c r="H11" i="59"/>
  <c r="G11" i="59"/>
  <c r="O10" i="59"/>
  <c r="N10" i="59"/>
  <c r="K10" i="59"/>
  <c r="J10" i="59"/>
  <c r="I10" i="59"/>
  <c r="H10" i="59"/>
  <c r="G10" i="59"/>
  <c r="O9" i="59"/>
  <c r="N9" i="59"/>
  <c r="K9" i="59"/>
  <c r="J9" i="59"/>
  <c r="I9" i="59"/>
  <c r="H9" i="59"/>
  <c r="G9" i="59"/>
  <c r="O8" i="59"/>
  <c r="N8" i="59"/>
  <c r="K8" i="59"/>
  <c r="J8" i="59"/>
  <c r="I8" i="59"/>
  <c r="H8" i="59"/>
  <c r="G8" i="59"/>
  <c r="O7" i="59"/>
  <c r="N7" i="59"/>
  <c r="K7" i="59"/>
  <c r="J7" i="59"/>
  <c r="I7" i="59"/>
  <c r="H7" i="59"/>
  <c r="G7" i="59"/>
  <c r="O6" i="59"/>
  <c r="N6" i="59"/>
  <c r="K6" i="59"/>
  <c r="J6" i="59"/>
  <c r="I6" i="59"/>
  <c r="H6" i="59"/>
  <c r="G6" i="59"/>
  <c r="O5" i="59"/>
  <c r="N5" i="59"/>
  <c r="I5" i="59"/>
  <c r="G5" i="59"/>
  <c r="A1" i="59"/>
  <c r="M5" i="73"/>
  <c r="M6" i="73"/>
  <c r="M7" i="73"/>
  <c r="M8" i="73"/>
  <c r="M9" i="73"/>
  <c r="M10" i="73"/>
  <c r="M11" i="73"/>
  <c r="M12" i="73"/>
  <c r="M13" i="73"/>
  <c r="M14" i="73"/>
  <c r="M15" i="73"/>
  <c r="M16" i="73"/>
  <c r="M17" i="73"/>
  <c r="M18" i="73"/>
  <c r="M20" i="73"/>
  <c r="M21" i="73"/>
  <c r="M5" i="59"/>
  <c r="M6" i="59"/>
  <c r="M7" i="59"/>
  <c r="M8" i="59"/>
  <c r="M9" i="59"/>
  <c r="M10" i="59"/>
  <c r="M11" i="59"/>
  <c r="M12" i="59"/>
  <c r="M13" i="59"/>
  <c r="M14" i="59"/>
  <c r="M15" i="59"/>
  <c r="M16" i="59"/>
  <c r="M17" i="59"/>
  <c r="M18" i="59"/>
  <c r="M19" i="59"/>
  <c r="M20" i="59"/>
  <c r="M22" i="59"/>
  <c r="M23" i="59"/>
  <c r="M5" i="67"/>
  <c r="M6" i="67"/>
  <c r="M7" i="67"/>
  <c r="M8" i="67"/>
  <c r="M9" i="67"/>
  <c r="M10" i="67"/>
  <c r="M11" i="67"/>
  <c r="M12" i="67"/>
  <c r="M13" i="67"/>
  <c r="M14" i="67"/>
  <c r="M15" i="67"/>
  <c r="M16" i="67"/>
  <c r="M17" i="67"/>
  <c r="M18" i="67"/>
  <c r="M19" i="67"/>
  <c r="M21" i="67"/>
  <c r="M22" i="67"/>
  <c r="M5" i="72"/>
  <c r="M6" i="72"/>
  <c r="M7" i="72"/>
  <c r="M8" i="72"/>
  <c r="M9" i="72"/>
  <c r="M10" i="72"/>
  <c r="M11" i="72"/>
  <c r="M12" i="72"/>
  <c r="M13" i="72"/>
  <c r="M14" i="72"/>
  <c r="M15" i="72"/>
  <c r="M16" i="72"/>
  <c r="M17" i="72"/>
  <c r="M18" i="72"/>
  <c r="M19" i="72"/>
  <c r="M21" i="72"/>
  <c r="M22" i="72"/>
</calcChain>
</file>

<file path=xl/sharedStrings.xml><?xml version="1.0" encoding="utf-8"?>
<sst xmlns="http://schemas.openxmlformats.org/spreadsheetml/2006/main" count="424" uniqueCount="158">
  <si>
    <t>完成属性</t>
    <phoneticPr fontId="1" type="noConversion"/>
  </si>
  <si>
    <t>已完成</t>
    <phoneticPr fontId="1" type="noConversion"/>
  </si>
  <si>
    <t>未完成</t>
    <phoneticPr fontId="1" type="noConversion"/>
  </si>
  <si>
    <t>用户名</t>
    <phoneticPr fontId="1" type="noConversion"/>
  </si>
  <si>
    <t>密码</t>
    <phoneticPr fontId="1" type="noConversion"/>
  </si>
  <si>
    <t>权限</t>
    <phoneticPr fontId="1" type="noConversion"/>
  </si>
  <si>
    <t>管理员</t>
    <phoneticPr fontId="1" type="noConversion"/>
  </si>
  <si>
    <t>admin</t>
    <phoneticPr fontId="1" type="noConversion"/>
  </si>
  <si>
    <t>最后修订</t>
  </si>
  <si>
    <t>序号</t>
  </si>
  <si>
    <t>操作类别</t>
  </si>
  <si>
    <t>操作内容</t>
  </si>
  <si>
    <t>执行者</t>
  </si>
  <si>
    <t>执行时间</t>
  </si>
  <si>
    <t>操作记录</t>
  </si>
  <si>
    <t>O操作记录</t>
  </si>
  <si>
    <t>备注</t>
  </si>
  <si>
    <t>规定操作时间</t>
    <phoneticPr fontId="1" type="noConversion"/>
  </si>
  <si>
    <t>刷新素材</t>
    <phoneticPr fontId="1" type="noConversion"/>
  </si>
  <si>
    <t>播出工作站工作状态</t>
    <phoneticPr fontId="1" type="noConversion"/>
  </si>
  <si>
    <t>时间及校时软件</t>
    <phoneticPr fontId="1" type="noConversion"/>
  </si>
  <si>
    <t>逻辑校验信息窗口</t>
    <phoneticPr fontId="1" type="noConversion"/>
  </si>
  <si>
    <t>心跳信息输出窗口</t>
    <phoneticPr fontId="1" type="noConversion"/>
  </si>
  <si>
    <t>预警</t>
    <phoneticPr fontId="1" type="noConversion"/>
  </si>
  <si>
    <t>字幕（12：00～19：00）</t>
    <phoneticPr fontId="1" type="noConversion"/>
  </si>
  <si>
    <t>黄郴玲</t>
  </si>
  <si>
    <t>余健文</t>
  </si>
  <si>
    <t>丘桂芳</t>
  </si>
  <si>
    <t>孟佳佳</t>
  </si>
  <si>
    <t>陈国杨</t>
  </si>
  <si>
    <t>蔡冬仰</t>
  </si>
  <si>
    <t>吴婷婷</t>
  </si>
  <si>
    <t>莫丽娜</t>
  </si>
  <si>
    <t>唐辉翰</t>
  </si>
  <si>
    <t>黎伟波</t>
  </si>
  <si>
    <t>余维辉</t>
  </si>
  <si>
    <t>邓　祺</t>
  </si>
  <si>
    <t>黄燕谋</t>
  </si>
  <si>
    <t>梁文才</t>
  </si>
  <si>
    <t>邵一明</t>
  </si>
  <si>
    <t>黄剑青</t>
  </si>
  <si>
    <t>冯伟卓</t>
  </si>
  <si>
    <t>蔡焕新</t>
  </si>
  <si>
    <t>黄志江</t>
  </si>
  <si>
    <t>值班员</t>
    <phoneticPr fontId="1" type="noConversion"/>
  </si>
  <si>
    <t>刘燕萍</t>
    <phoneticPr fontId="1" type="noConversion"/>
  </si>
  <si>
    <t>刘秋天</t>
    <phoneticPr fontId="1" type="noConversion"/>
  </si>
  <si>
    <t>版 面</t>
    <phoneticPr fontId="1" type="noConversion"/>
  </si>
  <si>
    <t>检查</t>
    <phoneticPr fontId="1" type="noConversion"/>
  </si>
  <si>
    <t>挂角</t>
    <phoneticPr fontId="1" type="noConversion"/>
  </si>
  <si>
    <t>直播</t>
    <phoneticPr fontId="1" type="noConversion"/>
  </si>
  <si>
    <t>中 班</t>
    <phoneticPr fontId="1" type="noConversion"/>
  </si>
  <si>
    <t xml:space="preserve">  </t>
    <phoneticPr fontId="1" type="noConversion"/>
  </si>
  <si>
    <t>初次修订</t>
    <phoneticPr fontId="1" type="noConversion"/>
  </si>
  <si>
    <t>开始时间</t>
    <phoneticPr fontId="1" type="noConversion"/>
  </si>
  <si>
    <t>结束时间</t>
    <phoneticPr fontId="1" type="noConversion"/>
  </si>
  <si>
    <t>岗  位</t>
    <phoneticPr fontId="1" type="noConversion"/>
  </si>
  <si>
    <t>时间</t>
    <phoneticPr fontId="1" type="noConversion"/>
  </si>
  <si>
    <t>钟映红</t>
    <phoneticPr fontId="1" type="noConversion"/>
  </si>
  <si>
    <t>林雄燕</t>
    <phoneticPr fontId="1" type="noConversion"/>
  </si>
  <si>
    <t>李素云</t>
    <phoneticPr fontId="1" type="noConversion"/>
  </si>
  <si>
    <t>洪琳妍</t>
    <phoneticPr fontId="1" type="noConversion"/>
  </si>
  <si>
    <t>王俣婧</t>
    <phoneticPr fontId="1" type="noConversion"/>
  </si>
  <si>
    <t>冼棉敏</t>
    <phoneticPr fontId="1" type="noConversion"/>
  </si>
  <si>
    <t>陈纳珍</t>
    <phoneticPr fontId="1" type="noConversion"/>
  </si>
  <si>
    <t>江彩珠</t>
    <phoneticPr fontId="1" type="noConversion"/>
  </si>
  <si>
    <t>苏粤平</t>
    <phoneticPr fontId="1" type="noConversion"/>
  </si>
  <si>
    <t>梁美环</t>
    <phoneticPr fontId="1" type="noConversion"/>
  </si>
  <si>
    <t>罗辉娟</t>
    <phoneticPr fontId="1" type="noConversion"/>
  </si>
  <si>
    <t>素材类型</t>
    <phoneticPr fontId="1" type="noConversion"/>
  </si>
  <si>
    <t>操作类型</t>
    <phoneticPr fontId="1" type="noConversion"/>
  </si>
  <si>
    <t>确认</t>
    <phoneticPr fontId="1" type="noConversion"/>
  </si>
  <si>
    <t>备注</t>
    <phoneticPr fontId="1" type="noConversion"/>
  </si>
  <si>
    <t>磁带编号</t>
    <phoneticPr fontId="1" type="noConversion"/>
  </si>
  <si>
    <t>播出频道</t>
    <phoneticPr fontId="1" type="noConversion"/>
  </si>
  <si>
    <t>取带</t>
    <phoneticPr fontId="1" type="noConversion"/>
  </si>
  <si>
    <t>送带</t>
    <phoneticPr fontId="1" type="noConversion"/>
  </si>
  <si>
    <t>节目名称、集数</t>
    <phoneticPr fontId="1" type="noConversion"/>
  </si>
  <si>
    <t>送取带人签名</t>
    <phoneticPr fontId="1" type="noConversion"/>
  </si>
  <si>
    <t>值班员</t>
  </si>
  <si>
    <t>送取带</t>
    <phoneticPr fontId="1" type="noConversion"/>
  </si>
  <si>
    <t>确认时间</t>
    <phoneticPr fontId="1" type="noConversion"/>
  </si>
  <si>
    <t>何  敏</t>
    <phoneticPr fontId="1" type="noConversion"/>
  </si>
  <si>
    <t>卢巧仪</t>
    <phoneticPr fontId="1" type="noConversion"/>
  </si>
  <si>
    <t>王彦卿</t>
    <phoneticPr fontId="1" type="noConversion"/>
  </si>
  <si>
    <t>删  除</t>
    <phoneticPr fontId="1" type="noConversion"/>
  </si>
  <si>
    <t>增  加</t>
    <phoneticPr fontId="1" type="noConversion"/>
  </si>
  <si>
    <t>刷  新</t>
    <phoneticPr fontId="1" type="noConversion"/>
  </si>
  <si>
    <t>宣传片</t>
    <phoneticPr fontId="1" type="noConversion"/>
  </si>
  <si>
    <t>节  目</t>
    <phoneticPr fontId="1" type="noConversion"/>
  </si>
  <si>
    <t>广  告</t>
    <phoneticPr fontId="1" type="noConversion"/>
  </si>
  <si>
    <t>经济高清</t>
    <phoneticPr fontId="1" type="noConversion"/>
  </si>
  <si>
    <t xml:space="preserve"> 上  星 </t>
    <phoneticPr fontId="1" type="noConversion"/>
  </si>
  <si>
    <t xml:space="preserve"> 综  艺 </t>
    <phoneticPr fontId="1" type="noConversion"/>
  </si>
  <si>
    <t xml:space="preserve"> 影  视 </t>
    <phoneticPr fontId="1" type="noConversion"/>
  </si>
  <si>
    <t xml:space="preserve"> 少  儿 </t>
    <phoneticPr fontId="1" type="noConversion"/>
  </si>
  <si>
    <t>交  班  时  间</t>
    <phoneticPr fontId="1" type="noConversion"/>
  </si>
  <si>
    <t>完成情况</t>
    <phoneticPr fontId="1" type="noConversion"/>
  </si>
  <si>
    <t>关  莹</t>
    <phoneticPr fontId="1" type="noConversion"/>
  </si>
  <si>
    <t>郑  棉</t>
    <phoneticPr fontId="1" type="noConversion"/>
  </si>
  <si>
    <t>频  道</t>
    <phoneticPr fontId="1" type="noConversion"/>
  </si>
  <si>
    <t xml:space="preserve"> 都  市 </t>
    <phoneticPr fontId="1" type="noConversion"/>
  </si>
  <si>
    <t xml:space="preserve"> 经  济</t>
    <phoneticPr fontId="1" type="noConversion"/>
  </si>
  <si>
    <t>经济 经济高清</t>
    <phoneticPr fontId="1" type="noConversion"/>
  </si>
  <si>
    <t>素材检查（主备HDD）</t>
    <phoneticPr fontId="1" type="noConversion"/>
  </si>
  <si>
    <t>素材检查（第三备HDD）</t>
    <phoneticPr fontId="1" type="noConversion"/>
  </si>
  <si>
    <t>检查经济高清提前播</t>
    <phoneticPr fontId="1" type="noConversion"/>
  </si>
  <si>
    <t>素材</t>
    <phoneticPr fontId="1" type="noConversion"/>
  </si>
  <si>
    <t>600演播室核对《今日一线》主备通道</t>
    <phoneticPr fontId="1" type="noConversion"/>
  </si>
  <si>
    <t>刷新《南方财经报道》预告</t>
    <phoneticPr fontId="1" type="noConversion"/>
  </si>
  <si>
    <t/>
  </si>
  <si>
    <t>素材类型</t>
    <phoneticPr fontId="1" type="noConversion"/>
  </si>
  <si>
    <t>版面</t>
    <phoneticPr fontId="1" type="noConversion"/>
  </si>
  <si>
    <t>更改时间</t>
    <phoneticPr fontId="1" type="noConversion"/>
  </si>
  <si>
    <t>操作类别</t>
    <phoneticPr fontId="1" type="noConversion"/>
  </si>
  <si>
    <t>修改节目单</t>
    <phoneticPr fontId="1" type="noConversion"/>
  </si>
  <si>
    <t>值班记录</t>
    <phoneticPr fontId="1" type="noConversion"/>
  </si>
  <si>
    <t>交接提示</t>
    <phoneticPr fontId="1" type="noConversion"/>
  </si>
  <si>
    <t>上个班次项目</t>
    <phoneticPr fontId="1" type="noConversion"/>
  </si>
  <si>
    <t>字幕（18：00～26：00）</t>
    <phoneticPr fontId="1" type="noConversion"/>
  </si>
  <si>
    <t>600演播室核对《今日一线》片头</t>
    <phoneticPr fontId="1" type="noConversion"/>
  </si>
  <si>
    <t>素材</t>
    <phoneticPr fontId="1" type="noConversion"/>
  </si>
  <si>
    <t>刷新《今日一线》预告</t>
    <phoneticPr fontId="1" type="noConversion"/>
  </si>
  <si>
    <t>刷新《拍案看天下》</t>
    <phoneticPr fontId="1" type="noConversion"/>
  </si>
  <si>
    <t>晚 班</t>
    <phoneticPr fontId="1" type="noConversion"/>
  </si>
  <si>
    <t>调单并检查节目单广告段日期</t>
    <phoneticPr fontId="1" type="noConversion"/>
  </si>
  <si>
    <t>重启字幕机并调单</t>
    <phoneticPr fontId="1" type="noConversion"/>
  </si>
  <si>
    <t>节目名称、集数</t>
    <phoneticPr fontId="1" type="noConversion"/>
  </si>
  <si>
    <t>刘文</t>
    <phoneticPr fontId="1" type="noConversion"/>
  </si>
  <si>
    <t>邓有志</t>
    <phoneticPr fontId="1" type="noConversion"/>
  </si>
  <si>
    <t>余庆生</t>
    <phoneticPr fontId="1" type="noConversion"/>
  </si>
  <si>
    <t>宋岗岗</t>
    <phoneticPr fontId="1" type="noConversion"/>
  </si>
  <si>
    <t>邱大海</t>
    <phoneticPr fontId="1" type="noConversion"/>
  </si>
  <si>
    <t>郑波城</t>
    <phoneticPr fontId="1" type="noConversion"/>
  </si>
  <si>
    <t>王潮茂</t>
    <phoneticPr fontId="1" type="noConversion"/>
  </si>
  <si>
    <t>刘科明</t>
    <phoneticPr fontId="1" type="noConversion"/>
  </si>
  <si>
    <t>徐海</t>
    <phoneticPr fontId="1" type="noConversion"/>
  </si>
  <si>
    <t>黄浩</t>
    <phoneticPr fontId="1" type="noConversion"/>
  </si>
  <si>
    <t>蔡敏</t>
    <phoneticPr fontId="1" type="noConversion"/>
  </si>
  <si>
    <t>陈昕</t>
    <phoneticPr fontId="1" type="noConversion"/>
  </si>
  <si>
    <t>傅政</t>
    <phoneticPr fontId="1" type="noConversion"/>
  </si>
  <si>
    <t>王丹</t>
    <phoneticPr fontId="1" type="noConversion"/>
  </si>
  <si>
    <t>郭洁</t>
    <phoneticPr fontId="1" type="noConversion"/>
  </si>
  <si>
    <t>早 班</t>
    <phoneticPr fontId="1" type="noConversion"/>
  </si>
  <si>
    <t>核对广告段日期</t>
    <phoneticPr fontId="1" type="noConversion"/>
  </si>
  <si>
    <t>检查当日磁带备份</t>
    <phoneticPr fontId="1" type="noConversion"/>
  </si>
  <si>
    <t>字幕（6：30～13：00）</t>
    <phoneticPr fontId="1" type="noConversion"/>
  </si>
  <si>
    <t>天气（7：00～9：00）</t>
    <phoneticPr fontId="1" type="noConversion"/>
  </si>
  <si>
    <t>预警</t>
    <phoneticPr fontId="1" type="noConversion"/>
  </si>
  <si>
    <t>通 宵</t>
    <phoneticPr fontId="1" type="noConversion"/>
  </si>
  <si>
    <t>保留经济和经济高清首条节目“定时播”</t>
    <phoneticPr fontId="1" type="noConversion"/>
  </si>
  <si>
    <t>预警</t>
    <phoneticPr fontId="1" type="noConversion"/>
  </si>
  <si>
    <t>字幕（00：0～08：00）</t>
    <phoneticPr fontId="1" type="noConversion"/>
  </si>
  <si>
    <t>刷新《今日一线》</t>
    <phoneticPr fontId="1" type="noConversion"/>
  </si>
  <si>
    <t>刷新《马后炮》预告</t>
    <phoneticPr fontId="1" type="noConversion"/>
  </si>
  <si>
    <t>刷新《马后炮》</t>
    <phoneticPr fontId="1" type="noConversion"/>
  </si>
  <si>
    <t>刷新《拍案看天下》预告</t>
    <phoneticPr fontId="1" type="noConversion"/>
  </si>
  <si>
    <t>刷新《HD南方气象》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</si>
</sst>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[$-804]aaaa;@"/>
  </numFmts>
  <fonts count="2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8"/>
      <color theme="4" tint="-0.499984740745262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8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theme="4" tint="-0.249977111117893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9"/>
      <color theme="1"/>
      <name val="宋体"/>
      <family val="3"/>
      <charset val="134"/>
    </font>
    <font>
      <sz val="16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14"/>
      <color rgb="FFFF0000"/>
      <name val="华文仿宋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rgb="FF00B0F0"/>
      <name val="微软雅黑"/>
      <family val="2"/>
      <charset val="134"/>
    </font>
    <font>
      <sz val="10"/>
      <color theme="1"/>
      <name val="等线"/>
      <family val="2"/>
      <scheme val="minor"/>
    </font>
    <font>
      <sz val="9"/>
      <color rgb="FFFF0000"/>
      <name val="微软雅黑"/>
      <family val="2"/>
      <charset val="134"/>
    </font>
    <font>
      <sz val="9"/>
      <color rgb="FFFF0000"/>
      <name val="等线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F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BAD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Protection="1">
      <protection locked="0"/>
    </xf>
    <xf numFmtId="14" fontId="0" fillId="0" borderId="0" xfId="0" applyNumberFormat="1"/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20" fontId="7" fillId="2" borderId="1" xfId="0" applyNumberFormat="1" applyFont="1" applyFill="1" applyBorder="1" applyAlignment="1" applyProtection="1">
      <alignment horizontal="center" vertical="center"/>
    </xf>
    <xf numFmtId="176" fontId="7" fillId="2" borderId="1" xfId="0" applyNumberFormat="1" applyFont="1" applyFill="1" applyBorder="1" applyAlignment="1" applyProtection="1">
      <alignment horizontal="center" vertical="center"/>
    </xf>
    <xf numFmtId="176" fontId="7" fillId="3" borderId="1" xfId="0" applyNumberFormat="1" applyFont="1" applyFill="1" applyBorder="1" applyAlignment="1" applyProtection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/>
    </xf>
    <xf numFmtId="0" fontId="18" fillId="2" borderId="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/>
      <protection locked="0"/>
    </xf>
    <xf numFmtId="0" fontId="13" fillId="7" borderId="7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2" fillId="4" borderId="7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Protection="1"/>
    <xf numFmtId="0" fontId="4" fillId="5" borderId="5" xfId="0" applyFont="1" applyFill="1" applyBorder="1" applyAlignment="1" applyProtection="1">
      <alignment horizontal="center" vertical="center"/>
    </xf>
    <xf numFmtId="0" fontId="12" fillId="5" borderId="13" xfId="0" applyFont="1" applyFill="1" applyBorder="1" applyAlignment="1" applyProtection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9" fillId="5" borderId="13" xfId="0" applyFont="1" applyFill="1" applyBorder="1" applyAlignment="1" applyProtection="1">
      <alignment horizontal="center" vertical="center"/>
    </xf>
    <xf numFmtId="0" fontId="12" fillId="5" borderId="11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12" fillId="3" borderId="13" xfId="0" applyFont="1" applyFill="1" applyBorder="1" applyAlignment="1" applyProtection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</xf>
    <xf numFmtId="0" fontId="19" fillId="3" borderId="13" xfId="0" applyFont="1" applyFill="1" applyBorder="1" applyAlignment="1" applyProtection="1">
      <alignment horizontal="center" vertical="center"/>
    </xf>
    <xf numFmtId="0" fontId="12" fillId="3" borderId="11" xfId="0" applyFont="1" applyFill="1" applyBorder="1" applyAlignment="1" applyProtection="1">
      <alignment horizontal="center" vertical="center"/>
    </xf>
    <xf numFmtId="49" fontId="2" fillId="5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5" borderId="4" xfId="0" applyNumberFormat="1" applyFont="1" applyFill="1" applyBorder="1" applyAlignment="1" applyProtection="1">
      <alignment horizontal="center" vertical="center"/>
      <protection locked="0"/>
    </xf>
    <xf numFmtId="49" fontId="2" fillId="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3" borderId="4" xfId="0" applyNumberFormat="1" applyFont="1" applyFill="1" applyBorder="1" applyAlignment="1" applyProtection="1">
      <alignment horizontal="center" vertical="center"/>
      <protection locked="0"/>
    </xf>
    <xf numFmtId="0" fontId="2" fillId="5" borderId="1" xfId="0" applyNumberFormat="1" applyFont="1" applyFill="1" applyBorder="1" applyAlignment="1" applyProtection="1">
      <alignment horizontal="center" vertical="center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31" fontId="2" fillId="5" borderId="1" xfId="0" applyNumberFormat="1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5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8" borderId="8" xfId="0" applyFont="1" applyFill="1" applyBorder="1" applyAlignment="1" applyProtection="1">
      <alignment horizontal="center" vertical="center"/>
      <protection locked="0"/>
    </xf>
    <xf numFmtId="0" fontId="23" fillId="8" borderId="4" xfId="0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 applyProtection="1">
      <alignment vertical="center"/>
      <protection locked="0"/>
    </xf>
    <xf numFmtId="0" fontId="11" fillId="8" borderId="9" xfId="0" applyFont="1" applyFill="1" applyBorder="1" applyAlignment="1" applyProtection="1">
      <alignment horizontal="center" vertical="center"/>
      <protection locked="0"/>
    </xf>
    <xf numFmtId="0" fontId="10" fillId="8" borderId="9" xfId="0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 applyProtection="1">
      <alignment horizontal="left" vertical="center"/>
      <protection locked="0"/>
    </xf>
    <xf numFmtId="0" fontId="11" fillId="8" borderId="10" xfId="0" applyFont="1" applyFill="1" applyBorder="1" applyAlignment="1" applyProtection="1">
      <alignment horizontal="left" vertical="center"/>
      <protection locked="0"/>
    </xf>
    <xf numFmtId="0" fontId="14" fillId="8" borderId="8" xfId="0" applyFont="1" applyFill="1" applyBorder="1" applyAlignment="1" applyProtection="1">
      <alignment horizontal="center"/>
      <protection locked="0"/>
    </xf>
    <xf numFmtId="0" fontId="4" fillId="8" borderId="1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14" fillId="8" borderId="1" xfId="0" applyFont="1" applyFill="1" applyBorder="1" applyAlignment="1" applyProtection="1">
      <alignment horizontal="center" vertical="center"/>
      <protection locked="0"/>
    </xf>
    <xf numFmtId="0" fontId="14" fillId="8" borderId="3" xfId="0" applyFont="1" applyFill="1" applyBorder="1" applyAlignment="1" applyProtection="1">
      <alignment horizontal="center" vertic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3" fillId="7" borderId="1" xfId="0" applyFont="1" applyFill="1" applyBorder="1" applyAlignment="1" applyProtection="1">
      <alignment horizontal="center" vertical="center"/>
    </xf>
    <xf numFmtId="22" fontId="13" fillId="7" borderId="4" xfId="0" applyNumberFormat="1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 applyProtection="1">
      <alignment horizontal="center" vertical="center" wrapText="1"/>
      <protection locked="0"/>
    </xf>
    <xf numFmtId="0" fontId="4" fillId="11" borderId="1" xfId="0" applyFont="1" applyFill="1" applyBorder="1" applyAlignment="1" applyProtection="1">
      <alignment horizontal="center" vertical="center" wrapText="1"/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8" fillId="3" borderId="2" xfId="0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2" fillId="3" borderId="1" xfId="0" applyNumberFormat="1" applyFont="1" applyFill="1" applyBorder="1" applyAlignment="1" applyProtection="1">
      <alignment horizontal="center" vertical="center"/>
      <protection locked="0"/>
    </xf>
    <xf numFmtId="31" fontId="2" fillId="3" borderId="1" xfId="0" applyNumberFormat="1" applyFont="1" applyFill="1" applyBorder="1" applyAlignment="1" applyProtection="1">
      <alignment horizontal="center" vertical="center"/>
      <protection locked="0"/>
    </xf>
    <xf numFmtId="20" fontId="7" fillId="3" borderId="1" xfId="0" applyNumberFormat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12" borderId="1" xfId="0" applyFont="1" applyFill="1" applyBorder="1" applyAlignment="1" applyProtection="1">
      <alignment horizontal="center" vertical="center"/>
    </xf>
    <xf numFmtId="0" fontId="13" fillId="7" borderId="3" xfId="0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/>
    </xf>
    <xf numFmtId="49" fontId="2" fillId="1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3" borderId="4" xfId="0" applyNumberFormat="1" applyFont="1" applyFill="1" applyBorder="1" applyAlignment="1" applyProtection="1">
      <alignment horizontal="center" vertical="center"/>
      <protection locked="0"/>
    </xf>
    <xf numFmtId="0" fontId="4" fillId="13" borderId="1" xfId="0" applyFont="1" applyFill="1" applyBorder="1" applyAlignment="1" applyProtection="1">
      <alignment vertical="center"/>
    </xf>
    <xf numFmtId="0" fontId="4" fillId="13" borderId="6" xfId="0" applyFont="1" applyFill="1" applyBorder="1" applyAlignment="1" applyProtection="1">
      <alignment vertical="center"/>
    </xf>
    <xf numFmtId="0" fontId="4" fillId="13" borderId="5" xfId="0" applyFont="1" applyFill="1" applyBorder="1" applyAlignment="1" applyProtection="1">
      <alignment horizontal="center" vertical="center"/>
    </xf>
    <xf numFmtId="0" fontId="12" fillId="13" borderId="13" xfId="0" applyFont="1" applyFill="1" applyBorder="1" applyAlignment="1" applyProtection="1">
      <alignment horizontal="center" vertical="center"/>
    </xf>
    <xf numFmtId="0" fontId="19" fillId="13" borderId="13" xfId="0" applyFont="1" applyFill="1" applyBorder="1" applyAlignment="1" applyProtection="1">
      <alignment horizontal="center" vertical="center"/>
    </xf>
    <xf numFmtId="0" fontId="12" fillId="13" borderId="1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center" vertical="center"/>
    </xf>
    <xf numFmtId="0" fontId="4" fillId="13" borderId="6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18" fillId="13" borderId="2" xfId="0" applyFont="1" applyFill="1" applyBorder="1" applyAlignment="1" applyProtection="1">
      <alignment horizontal="center" vertical="center"/>
    </xf>
    <xf numFmtId="0" fontId="2" fillId="13" borderId="1" xfId="0" applyNumberFormat="1" applyFont="1" applyFill="1" applyBorder="1" applyAlignment="1" applyProtection="1">
      <alignment horizontal="center" vertical="center"/>
      <protection locked="0"/>
    </xf>
    <xf numFmtId="14" fontId="2" fillId="13" borderId="1" xfId="0" applyNumberFormat="1" applyFont="1" applyFill="1" applyBorder="1" applyAlignment="1" applyProtection="1">
      <alignment horizontal="center" vertical="center"/>
      <protection locked="0"/>
    </xf>
    <xf numFmtId="31" fontId="2" fillId="13" borderId="1" xfId="0" applyNumberFormat="1" applyFont="1" applyFill="1" applyBorder="1" applyAlignment="1" applyProtection="1">
      <alignment horizontal="center" vertical="center"/>
      <protection locked="0"/>
    </xf>
    <xf numFmtId="20" fontId="7" fillId="13" borderId="1" xfId="0" applyNumberFormat="1" applyFont="1" applyFill="1" applyBorder="1" applyAlignment="1" applyProtection="1">
      <alignment horizontal="center" vertical="center"/>
    </xf>
    <xf numFmtId="176" fontId="7" fillId="13" borderId="1" xfId="0" applyNumberFormat="1" applyFont="1" applyFill="1" applyBorder="1" applyAlignment="1" applyProtection="1">
      <alignment horizontal="center" vertical="center"/>
    </xf>
    <xf numFmtId="0" fontId="14" fillId="13" borderId="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left" vertical="center"/>
    </xf>
    <xf numFmtId="0" fontId="6" fillId="13" borderId="1" xfId="0" applyFont="1" applyFill="1" applyBorder="1" applyAlignment="1" applyProtection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49" fontId="2" fillId="15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5" borderId="4" xfId="0" applyNumberFormat="1" applyFont="1" applyFill="1" applyBorder="1" applyAlignment="1" applyProtection="1">
      <alignment horizontal="center" vertical="center"/>
      <protection locked="0"/>
    </xf>
    <xf numFmtId="0" fontId="4" fillId="15" borderId="1" xfId="0" applyFont="1" applyFill="1" applyBorder="1" applyAlignment="1" applyProtection="1">
      <alignment horizontal="center" vertical="center"/>
    </xf>
    <xf numFmtId="0" fontId="4" fillId="15" borderId="6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</xf>
    <xf numFmtId="0" fontId="12" fillId="15" borderId="13" xfId="0" applyFont="1" applyFill="1" applyBorder="1" applyAlignment="1" applyProtection="1">
      <alignment horizontal="center" vertical="center"/>
    </xf>
    <xf numFmtId="0" fontId="12" fillId="15" borderId="11" xfId="0" applyFont="1" applyFill="1" applyBorder="1" applyAlignment="1" applyProtection="1">
      <alignment horizontal="center" vertical="center"/>
    </xf>
    <xf numFmtId="0" fontId="3" fillId="15" borderId="1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  <protection locked="0"/>
    </xf>
    <xf numFmtId="0" fontId="18" fillId="15" borderId="2" xfId="0" applyFont="1" applyFill="1" applyBorder="1" applyAlignment="1" applyProtection="1">
      <alignment horizontal="center" vertical="center"/>
    </xf>
    <xf numFmtId="0" fontId="2" fillId="15" borderId="1" xfId="0" applyNumberFormat="1" applyFont="1" applyFill="1" applyBorder="1" applyAlignment="1" applyProtection="1">
      <alignment horizontal="center" vertical="center"/>
      <protection locked="0"/>
    </xf>
    <xf numFmtId="14" fontId="2" fillId="15" borderId="1" xfId="0" applyNumberFormat="1" applyFont="1" applyFill="1" applyBorder="1" applyAlignment="1" applyProtection="1">
      <alignment horizontal="center" vertical="center"/>
      <protection locked="0"/>
    </xf>
    <xf numFmtId="31" fontId="2" fillId="15" borderId="1" xfId="0" applyNumberFormat="1" applyFont="1" applyFill="1" applyBorder="1" applyAlignment="1" applyProtection="1">
      <alignment horizontal="center" vertical="center"/>
      <protection locked="0"/>
    </xf>
    <xf numFmtId="0" fontId="4" fillId="15" borderId="5" xfId="0" applyFont="1" applyFill="1" applyBorder="1" applyAlignment="1" applyProtection="1">
      <alignment horizontal="center" vertical="center"/>
    </xf>
    <xf numFmtId="20" fontId="7" fillId="15" borderId="1" xfId="0" applyNumberFormat="1" applyFont="1" applyFill="1" applyBorder="1" applyAlignment="1" applyProtection="1">
      <alignment horizontal="center" vertical="center"/>
    </xf>
    <xf numFmtId="176" fontId="7" fillId="15" borderId="1" xfId="0" applyNumberFormat="1" applyFont="1" applyFill="1" applyBorder="1" applyAlignment="1" applyProtection="1">
      <alignment horizontal="center" vertical="center"/>
    </xf>
    <xf numFmtId="0" fontId="14" fillId="15" borderId="1" xfId="0" applyFont="1" applyFill="1" applyBorder="1" applyAlignment="1" applyProtection="1">
      <alignment horizontal="center" vertical="center"/>
    </xf>
    <xf numFmtId="0" fontId="4" fillId="15" borderId="1" xfId="0" applyFont="1" applyFill="1" applyBorder="1" applyAlignment="1" applyProtection="1">
      <alignment horizontal="left" vertical="center"/>
    </xf>
    <xf numFmtId="0" fontId="6" fillId="15" borderId="1" xfId="0" applyFont="1" applyFill="1" applyBorder="1" applyAlignment="1" applyProtection="1">
      <alignment horizontal="center" vertical="center"/>
    </xf>
    <xf numFmtId="0" fontId="19" fillId="15" borderId="13" xfId="0" applyFont="1" applyFill="1" applyBorder="1" applyAlignment="1" applyProtection="1">
      <alignment horizontal="center" vertical="center"/>
    </xf>
    <xf numFmtId="177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5" borderId="5" xfId="0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6" borderId="8" xfId="0" applyFont="1" applyFill="1" applyBorder="1" applyAlignment="1" applyProtection="1">
      <alignment horizontal="left" vertical="top" wrapText="1"/>
      <protection locked="0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26" fillId="6" borderId="2" xfId="0" applyFont="1" applyFill="1" applyBorder="1" applyAlignment="1" applyProtection="1">
      <alignment horizontal="left" vertical="top" wrapText="1"/>
      <protection locked="0"/>
    </xf>
    <xf numFmtId="0" fontId="27" fillId="0" borderId="3" xfId="0" applyFont="1" applyBorder="1" applyAlignment="1">
      <alignment horizontal="left" vertical="top" wrapText="1"/>
    </xf>
    <xf numFmtId="0" fontId="27" fillId="0" borderId="4" xfId="0" applyFont="1" applyBorder="1" applyAlignment="1">
      <alignment wrapText="1"/>
    </xf>
    <xf numFmtId="0" fontId="4" fillId="6" borderId="2" xfId="0" applyFont="1" applyFill="1" applyBorder="1" applyAlignment="1" applyProtection="1">
      <alignment horizontal="left" vertical="top" wrapText="1"/>
      <protection locked="0"/>
    </xf>
    <xf numFmtId="0" fontId="25" fillId="0" borderId="3" xfId="0" applyFont="1" applyBorder="1" applyAlignment="1">
      <alignment horizontal="left" vertical="top" wrapText="1"/>
    </xf>
    <xf numFmtId="0" fontId="25" fillId="0" borderId="4" xfId="0" applyFont="1" applyBorder="1" applyAlignment="1">
      <alignment wrapText="1"/>
    </xf>
    <xf numFmtId="0" fontId="21" fillId="4" borderId="2" xfId="0" applyFont="1" applyFill="1" applyBorder="1" applyAlignment="1" applyProtection="1">
      <alignment horizontal="center" vertical="center"/>
      <protection locked="0"/>
    </xf>
    <xf numFmtId="0" fontId="21" fillId="4" borderId="4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5" borderId="4" xfId="0" applyFont="1" applyFill="1" applyBorder="1" applyAlignment="1" applyProtection="1">
      <alignment horizontal="center" vertical="center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6" fillId="7" borderId="2" xfId="0" applyFont="1" applyFill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7" borderId="4" xfId="0" applyFont="1" applyFill="1" applyBorder="1" applyAlignment="1" applyProtection="1">
      <alignment horizontal="center" vertical="center"/>
    </xf>
    <xf numFmtId="0" fontId="13" fillId="7" borderId="3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 applyProtection="1">
      <alignment horizontal="center" vertical="center"/>
    </xf>
    <xf numFmtId="0" fontId="6" fillId="5" borderId="4" xfId="0" applyFont="1" applyFill="1" applyBorder="1" applyAlignment="1" applyProtection="1">
      <alignment horizontal="center" vertical="center"/>
    </xf>
    <xf numFmtId="0" fontId="19" fillId="5" borderId="2" xfId="0" applyFont="1" applyFill="1" applyBorder="1" applyAlignment="1" applyProtection="1">
      <alignment horizontal="center" vertical="center"/>
    </xf>
    <xf numFmtId="0" fontId="19" fillId="5" borderId="3" xfId="0" applyFont="1" applyFill="1" applyBorder="1" applyAlignment="1" applyProtection="1">
      <alignment horizontal="center" vertical="center"/>
    </xf>
    <xf numFmtId="0" fontId="19" fillId="5" borderId="4" xfId="0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</xf>
    <xf numFmtId="0" fontId="2" fillId="8" borderId="5" xfId="0" applyFont="1" applyFill="1" applyBorder="1" applyAlignment="1" applyProtection="1">
      <alignment horizontal="center" vertical="center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0" fontId="5" fillId="8" borderId="2" xfId="0" applyFont="1" applyFill="1" applyBorder="1" applyAlignment="1" applyProtection="1">
      <alignment horizontal="center" vertical="center"/>
    </xf>
    <xf numFmtId="0" fontId="5" fillId="8" borderId="3" xfId="0" applyFont="1" applyFill="1" applyBorder="1" applyAlignment="1" applyProtection="1">
      <alignment horizontal="center" vertical="center"/>
    </xf>
    <xf numFmtId="0" fontId="5" fillId="8" borderId="4" xfId="0" applyFont="1" applyFill="1" applyBorder="1" applyAlignment="1" applyProtection="1">
      <alignment horizontal="center" vertical="center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24" fillId="8" borderId="3" xfId="0" applyFont="1" applyFill="1" applyBorder="1" applyAlignment="1" applyProtection="1">
      <alignment horizontal="center" vertical="center"/>
      <protection locked="0"/>
    </xf>
    <xf numFmtId="0" fontId="24" fillId="8" borderId="4" xfId="0" applyFont="1" applyFill="1" applyBorder="1" applyAlignment="1" applyProtection="1">
      <alignment horizontal="center" vertical="center"/>
      <protection locked="0"/>
    </xf>
    <xf numFmtId="177" fontId="11" fillId="8" borderId="2" xfId="0" applyNumberFormat="1" applyFont="1" applyFill="1" applyBorder="1" applyAlignment="1" applyProtection="1">
      <alignment horizontal="center" vertical="center"/>
      <protection locked="0"/>
    </xf>
    <xf numFmtId="177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 vertical="center"/>
      <protection locked="0"/>
    </xf>
    <xf numFmtId="0" fontId="14" fillId="8" borderId="6" xfId="0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 vertical="center" wrapText="1"/>
      <protection locked="0"/>
    </xf>
    <xf numFmtId="0" fontId="14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11" xfId="0" applyFont="1" applyFill="1" applyBorder="1" applyAlignment="1" applyProtection="1">
      <alignment horizontal="center" vertical="center"/>
      <protection locked="0"/>
    </xf>
    <xf numFmtId="0" fontId="14" fillId="8" borderId="12" xfId="0" applyFont="1" applyFill="1" applyBorder="1" applyAlignment="1" applyProtection="1">
      <alignment horizontal="center" vertical="center"/>
      <protection locked="0"/>
    </xf>
    <xf numFmtId="0" fontId="14" fillId="8" borderId="2" xfId="0" applyFont="1" applyFill="1" applyBorder="1" applyAlignment="1" applyProtection="1">
      <alignment horizontal="center" vertical="center"/>
      <protection locked="0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6" fillId="8" borderId="5" xfId="0" applyFont="1" applyFill="1" applyBorder="1" applyAlignment="1" applyProtection="1">
      <alignment horizontal="center" vertical="center" wrapText="1"/>
      <protection locked="0"/>
    </xf>
    <xf numFmtId="0" fontId="16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10" xfId="0" applyFont="1" applyFill="1" applyBorder="1" applyAlignment="1" applyProtection="1">
      <alignment horizontal="center" vertical="center" wrapText="1"/>
      <protection locked="0"/>
    </xf>
    <xf numFmtId="0" fontId="14" fillId="8" borderId="12" xfId="0" applyFont="1" applyFill="1" applyBorder="1" applyAlignment="1" applyProtection="1">
      <alignment horizontal="center" vertical="center" wrapText="1"/>
      <protection locked="0"/>
    </xf>
    <xf numFmtId="0" fontId="16" fillId="8" borderId="8" xfId="0" applyFont="1" applyFill="1" applyBorder="1" applyAlignment="1" applyProtection="1">
      <alignment horizontal="center" vertical="center"/>
      <protection locked="0"/>
    </xf>
    <xf numFmtId="0" fontId="16" fillId="8" borderId="10" xfId="0" applyFont="1" applyFill="1" applyBorder="1" applyAlignment="1" applyProtection="1">
      <alignment horizontal="center" vertical="center"/>
      <protection locked="0"/>
    </xf>
    <xf numFmtId="0" fontId="16" fillId="8" borderId="11" xfId="0" applyFont="1" applyFill="1" applyBorder="1" applyAlignment="1" applyProtection="1">
      <alignment horizontal="center" vertical="center"/>
      <protection locked="0"/>
    </xf>
    <xf numFmtId="0" fontId="16" fillId="8" borderId="12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19" fillId="3" borderId="2" xfId="0" applyFont="1" applyFill="1" applyBorder="1" applyAlignment="1" applyProtection="1">
      <alignment horizontal="center" vertical="center"/>
    </xf>
    <xf numFmtId="0" fontId="19" fillId="3" borderId="3" xfId="0" applyFont="1" applyFill="1" applyBorder="1" applyAlignment="1" applyProtection="1">
      <alignment horizontal="center" vertical="center"/>
    </xf>
    <xf numFmtId="0" fontId="19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4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14" fillId="3" borderId="5" xfId="0" applyFont="1" applyFill="1" applyBorder="1" applyAlignment="1" applyProtection="1">
      <alignment horizontal="center" vertical="center" wrapText="1"/>
    </xf>
    <xf numFmtId="0" fontId="14" fillId="3" borderId="14" xfId="0" applyFont="1" applyFill="1" applyBorder="1" applyAlignment="1" applyProtection="1">
      <alignment horizontal="center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0" fontId="17" fillId="15" borderId="5" xfId="0" applyFont="1" applyFill="1" applyBorder="1" applyAlignment="1" applyProtection="1">
      <alignment horizontal="center" vertical="center" wrapText="1"/>
    </xf>
    <xf numFmtId="0" fontId="0" fillId="15" borderId="6" xfId="0" applyFill="1" applyBorder="1" applyAlignment="1">
      <alignment horizontal="center" vertical="center" wrapText="1"/>
    </xf>
    <xf numFmtId="0" fontId="6" fillId="15" borderId="2" xfId="0" applyFont="1" applyFill="1" applyBorder="1" applyAlignment="1" applyProtection="1">
      <alignment horizontal="center" vertical="center"/>
    </xf>
    <xf numFmtId="0" fontId="6" fillId="15" borderId="4" xfId="0" applyFont="1" applyFill="1" applyBorder="1" applyAlignment="1" applyProtection="1">
      <alignment horizontal="center" vertical="center"/>
    </xf>
    <xf numFmtId="0" fontId="14" fillId="15" borderId="5" xfId="0" applyFont="1" applyFill="1" applyBorder="1" applyAlignment="1" applyProtection="1">
      <alignment horizontal="center" vertical="center" wrapText="1"/>
    </xf>
    <xf numFmtId="0" fontId="14" fillId="15" borderId="14" xfId="0" applyFont="1" applyFill="1" applyBorder="1" applyAlignment="1" applyProtection="1">
      <alignment horizontal="center" vertical="center" wrapText="1"/>
    </xf>
    <xf numFmtId="0" fontId="14" fillId="15" borderId="6" xfId="0" applyFont="1" applyFill="1" applyBorder="1" applyAlignment="1" applyProtection="1">
      <alignment horizontal="center" vertical="center" wrapText="1"/>
    </xf>
    <xf numFmtId="0" fontId="3" fillId="15" borderId="2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5" borderId="7" xfId="0" applyFont="1" applyFill="1" applyBorder="1" applyAlignment="1" applyProtection="1">
      <alignment horizontal="center" vertical="center"/>
    </xf>
    <xf numFmtId="0" fontId="3" fillId="15" borderId="12" xfId="0" applyFont="1" applyFill="1" applyBorder="1" applyAlignment="1" applyProtection="1">
      <alignment horizontal="center" vertical="center"/>
    </xf>
    <xf numFmtId="0" fontId="2" fillId="15" borderId="2" xfId="0" applyFont="1" applyFill="1" applyBorder="1" applyAlignment="1" applyProtection="1">
      <alignment horizontal="center" vertical="center"/>
    </xf>
    <xf numFmtId="0" fontId="2" fillId="15" borderId="4" xfId="0" applyFont="1" applyFill="1" applyBorder="1" applyAlignment="1" applyProtection="1">
      <alignment horizontal="center" vertical="center"/>
    </xf>
    <xf numFmtId="0" fontId="19" fillId="15" borderId="2" xfId="0" applyFont="1" applyFill="1" applyBorder="1" applyAlignment="1" applyProtection="1">
      <alignment horizontal="center" vertical="center"/>
    </xf>
    <xf numFmtId="0" fontId="19" fillId="15" borderId="3" xfId="0" applyFont="1" applyFill="1" applyBorder="1" applyAlignment="1" applyProtection="1">
      <alignment horizontal="center" vertical="center"/>
    </xf>
    <xf numFmtId="0" fontId="19" fillId="15" borderId="4" xfId="0" applyFont="1" applyFill="1" applyBorder="1" applyAlignment="1" applyProtection="1">
      <alignment horizontal="center" vertical="center"/>
    </xf>
    <xf numFmtId="0" fontId="2" fillId="15" borderId="3" xfId="0" applyFont="1" applyFill="1" applyBorder="1" applyAlignment="1" applyProtection="1">
      <alignment horizontal="center" vertical="center"/>
    </xf>
    <xf numFmtId="0" fontId="17" fillId="13" borderId="5" xfId="0" applyFont="1" applyFill="1" applyBorder="1" applyAlignment="1" applyProtection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14" fillId="13" borderId="5" xfId="0" applyFont="1" applyFill="1" applyBorder="1" applyAlignment="1" applyProtection="1">
      <alignment horizontal="center" vertical="center" wrapText="1"/>
    </xf>
    <xf numFmtId="0" fontId="14" fillId="13" borderId="14" xfId="0" applyFont="1" applyFill="1" applyBorder="1" applyAlignment="1" applyProtection="1">
      <alignment horizontal="center" vertical="center" wrapText="1"/>
    </xf>
    <xf numFmtId="0" fontId="14" fillId="13" borderId="6" xfId="0" applyFont="1" applyFill="1" applyBorder="1" applyAlignment="1" applyProtection="1">
      <alignment horizontal="center" vertical="center" wrapText="1"/>
    </xf>
    <xf numFmtId="0" fontId="3" fillId="13" borderId="2" xfId="0" applyFont="1" applyFill="1" applyBorder="1" applyAlignment="1" applyProtection="1">
      <alignment horizontal="center" vertical="center"/>
    </xf>
    <xf numFmtId="0" fontId="3" fillId="13" borderId="3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3" borderId="7" xfId="0" applyFont="1" applyFill="1" applyBorder="1" applyAlignment="1" applyProtection="1">
      <alignment horizontal="center" vertical="center"/>
    </xf>
    <xf numFmtId="0" fontId="3" fillId="13" borderId="12" xfId="0" applyFont="1" applyFill="1" applyBorder="1" applyAlignment="1" applyProtection="1">
      <alignment horizontal="center" vertical="center"/>
    </xf>
    <xf numFmtId="0" fontId="2" fillId="13" borderId="2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19" fillId="13" borderId="2" xfId="0" applyFont="1" applyFill="1" applyBorder="1" applyAlignment="1" applyProtection="1">
      <alignment horizontal="center" vertical="center"/>
    </xf>
    <xf numFmtId="0" fontId="19" fillId="13" borderId="3" xfId="0" applyFont="1" applyFill="1" applyBorder="1" applyAlignment="1" applyProtection="1">
      <alignment horizontal="center" vertical="center"/>
    </xf>
    <xf numFmtId="0" fontId="19" fillId="13" borderId="4" xfId="0" applyFont="1" applyFill="1" applyBorder="1" applyAlignment="1" applyProtection="1">
      <alignment horizontal="center" vertical="center"/>
    </xf>
    <xf numFmtId="0" fontId="2" fillId="13" borderId="3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1198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EFFCD"/>
      <color rgb="FFFFFFCC"/>
      <color rgb="FFE0BAD2"/>
      <color rgb="FFCC33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43"/>
  <sheetViews>
    <sheetView showGridLines="0" workbookViewId="0">
      <selection activeCell="O10" sqref="O10"/>
    </sheetView>
  </sheetViews>
  <sheetFormatPr defaultRowHeight="13.9" x14ac:dyDescent="0.4"/>
  <cols>
    <col min="1" max="1" width="9" style="6"/>
    <col min="4" max="4" width="5.59765625" customWidth="1"/>
    <col min="5" max="5" width="9" style="6"/>
    <col min="6" max="6" width="4.3984375" style="6" customWidth="1"/>
    <col min="7" max="7" width="10.46484375" style="73" customWidth="1"/>
    <col min="8" max="8" width="5.46484375" style="6" customWidth="1"/>
    <col min="9" max="9" width="10.46484375" style="6" customWidth="1"/>
    <col min="10" max="10" width="5.59765625" style="6" customWidth="1"/>
    <col min="11" max="11" width="10.46484375" style="6" customWidth="1"/>
    <col min="12" max="12" width="10.46484375" style="6" bestFit="1" customWidth="1"/>
    <col min="19" max="19" width="4.1328125" bestFit="1" customWidth="1"/>
    <col min="21" max="21" width="4.1328125" bestFit="1" customWidth="1"/>
    <col min="22" max="22" width="4.73046875" bestFit="1" customWidth="1"/>
  </cols>
  <sheetData>
    <row r="2" spans="1:21" x14ac:dyDescent="0.4">
      <c r="A2" s="6" t="s">
        <v>3</v>
      </c>
      <c r="B2" t="s">
        <v>4</v>
      </c>
      <c r="C2" t="s">
        <v>5</v>
      </c>
      <c r="E2" s="6" t="s">
        <v>0</v>
      </c>
      <c r="G2" s="73" t="s">
        <v>100</v>
      </c>
      <c r="H2" s="34"/>
      <c r="I2" s="34" t="s">
        <v>69</v>
      </c>
      <c r="J2" s="34"/>
      <c r="K2" s="34" t="s">
        <v>70</v>
      </c>
      <c r="M2" s="6" t="s">
        <v>47</v>
      </c>
    </row>
    <row r="3" spans="1:21" ht="20.25" x14ac:dyDescent="0.4">
      <c r="A3" s="6" t="s">
        <v>6</v>
      </c>
      <c r="B3" t="s">
        <v>7</v>
      </c>
      <c r="C3">
        <v>100</v>
      </c>
      <c r="E3" s="6" t="s">
        <v>2</v>
      </c>
      <c r="H3" s="34"/>
      <c r="J3" s="34"/>
      <c r="L3" s="11"/>
      <c r="M3" s="72" t="s">
        <v>45</v>
      </c>
      <c r="P3" s="35"/>
      <c r="Q3" s="36"/>
      <c r="R3" s="36"/>
      <c r="S3" s="37"/>
      <c r="T3" s="36"/>
      <c r="U3" s="37"/>
    </row>
    <row r="4" spans="1:21" ht="20.25" x14ac:dyDescent="0.6">
      <c r="A4" s="6" t="s">
        <v>44</v>
      </c>
      <c r="B4">
        <v>1</v>
      </c>
      <c r="C4">
        <v>1</v>
      </c>
      <c r="G4" s="73" t="s">
        <v>91</v>
      </c>
      <c r="H4" s="34"/>
      <c r="I4" s="34" t="s">
        <v>88</v>
      </c>
      <c r="J4" s="34"/>
      <c r="K4" s="34" t="s">
        <v>85</v>
      </c>
      <c r="L4" s="11"/>
      <c r="M4" s="72" t="s">
        <v>58</v>
      </c>
      <c r="P4" s="38"/>
      <c r="Q4" s="36"/>
      <c r="R4" s="36"/>
      <c r="S4" s="37"/>
      <c r="T4" s="36"/>
      <c r="U4" s="39"/>
    </row>
    <row r="5" spans="1:21" x14ac:dyDescent="0.4">
      <c r="A5" s="6" t="s">
        <v>128</v>
      </c>
      <c r="B5">
        <v>1</v>
      </c>
      <c r="C5">
        <v>1</v>
      </c>
      <c r="E5" s="6" t="s">
        <v>1</v>
      </c>
      <c r="H5" s="34"/>
      <c r="J5" s="34"/>
      <c r="L5" s="11"/>
      <c r="M5" s="72" t="s">
        <v>83</v>
      </c>
    </row>
    <row r="6" spans="1:21" x14ac:dyDescent="0.4">
      <c r="A6" s="6" t="s">
        <v>84</v>
      </c>
      <c r="B6">
        <v>1</v>
      </c>
      <c r="C6">
        <v>1</v>
      </c>
      <c r="G6" s="73" t="s">
        <v>102</v>
      </c>
      <c r="H6" s="34"/>
      <c r="I6" s="34" t="s">
        <v>89</v>
      </c>
      <c r="J6" s="34"/>
      <c r="K6" s="34" t="s">
        <v>86</v>
      </c>
      <c r="L6" s="11"/>
      <c r="M6" s="74"/>
    </row>
    <row r="7" spans="1:21" x14ac:dyDescent="0.4">
      <c r="A7" s="6" t="s">
        <v>129</v>
      </c>
      <c r="B7">
        <v>1</v>
      </c>
      <c r="C7">
        <v>1</v>
      </c>
      <c r="H7" s="34"/>
      <c r="J7" s="34"/>
      <c r="K7" s="34"/>
      <c r="L7" s="11"/>
      <c r="M7" s="72" t="s">
        <v>59</v>
      </c>
      <c r="P7" s="153"/>
      <c r="Q7" s="153"/>
    </row>
    <row r="8" spans="1:21" x14ac:dyDescent="0.4">
      <c r="A8" s="6" t="s">
        <v>130</v>
      </c>
      <c r="B8">
        <v>1</v>
      </c>
      <c r="C8">
        <v>1</v>
      </c>
      <c r="G8" s="73" t="s">
        <v>101</v>
      </c>
      <c r="H8" s="34"/>
      <c r="I8" s="34" t="s">
        <v>90</v>
      </c>
      <c r="J8" s="34"/>
      <c r="K8" s="34" t="s">
        <v>87</v>
      </c>
      <c r="L8" s="11"/>
      <c r="M8" s="72" t="s">
        <v>82</v>
      </c>
      <c r="P8" s="153"/>
      <c r="Q8" s="153"/>
    </row>
    <row r="9" spans="1:21" x14ac:dyDescent="0.4">
      <c r="A9" s="6" t="s">
        <v>131</v>
      </c>
      <c r="B9">
        <v>1</v>
      </c>
      <c r="C9">
        <v>1</v>
      </c>
      <c r="H9" s="34"/>
      <c r="I9" s="34"/>
      <c r="J9" s="34"/>
      <c r="K9" s="34"/>
      <c r="L9" s="11"/>
      <c r="M9" s="72" t="s">
        <v>46</v>
      </c>
    </row>
    <row r="10" spans="1:21" x14ac:dyDescent="0.4">
      <c r="A10" s="6" t="s">
        <v>132</v>
      </c>
      <c r="B10">
        <v>1</v>
      </c>
      <c r="C10">
        <v>1</v>
      </c>
      <c r="G10" s="73" t="s">
        <v>92</v>
      </c>
      <c r="M10" s="72" t="s">
        <v>60</v>
      </c>
    </row>
    <row r="11" spans="1:21" x14ac:dyDescent="0.4">
      <c r="A11" s="6" t="s">
        <v>133</v>
      </c>
      <c r="B11">
        <v>1</v>
      </c>
      <c r="C11">
        <v>1</v>
      </c>
      <c r="M11" s="72" t="s">
        <v>61</v>
      </c>
    </row>
    <row r="12" spans="1:21" x14ac:dyDescent="0.4">
      <c r="A12" s="6" t="s">
        <v>136</v>
      </c>
      <c r="B12">
        <v>1</v>
      </c>
      <c r="C12">
        <v>1</v>
      </c>
      <c r="G12" s="73" t="s">
        <v>93</v>
      </c>
      <c r="M12" s="72" t="s">
        <v>62</v>
      </c>
    </row>
    <row r="13" spans="1:21" x14ac:dyDescent="0.4">
      <c r="A13" s="6" t="s">
        <v>137</v>
      </c>
      <c r="B13">
        <v>1</v>
      </c>
      <c r="C13">
        <v>1</v>
      </c>
    </row>
    <row r="14" spans="1:21" x14ac:dyDescent="0.4">
      <c r="A14" s="6" t="s">
        <v>138</v>
      </c>
      <c r="B14">
        <v>1</v>
      </c>
      <c r="C14">
        <v>1</v>
      </c>
      <c r="G14" s="73" t="s">
        <v>94</v>
      </c>
      <c r="M14" s="72" t="s">
        <v>63</v>
      </c>
    </row>
    <row r="15" spans="1:21" x14ac:dyDescent="0.4">
      <c r="A15" s="6" t="s">
        <v>134</v>
      </c>
      <c r="B15">
        <v>1</v>
      </c>
      <c r="C15">
        <v>1</v>
      </c>
      <c r="M15" s="72" t="s">
        <v>64</v>
      </c>
    </row>
    <row r="16" spans="1:21" x14ac:dyDescent="0.4">
      <c r="A16" s="6" t="s">
        <v>135</v>
      </c>
      <c r="B16">
        <v>1</v>
      </c>
      <c r="C16">
        <v>1</v>
      </c>
      <c r="G16" s="73" t="s">
        <v>95</v>
      </c>
      <c r="M16" s="72" t="s">
        <v>65</v>
      </c>
    </row>
    <row r="17" spans="1:13" x14ac:dyDescent="0.4">
      <c r="A17" s="6" t="s">
        <v>139</v>
      </c>
      <c r="B17">
        <v>1</v>
      </c>
      <c r="C17">
        <v>1</v>
      </c>
    </row>
    <row r="18" spans="1:13" x14ac:dyDescent="0.4">
      <c r="A18" s="6" t="s">
        <v>140</v>
      </c>
      <c r="B18">
        <v>1</v>
      </c>
      <c r="C18">
        <v>1</v>
      </c>
      <c r="M18" s="72" t="s">
        <v>66</v>
      </c>
    </row>
    <row r="19" spans="1:13" x14ac:dyDescent="0.4">
      <c r="A19" s="6" t="s">
        <v>141</v>
      </c>
      <c r="B19">
        <v>1</v>
      </c>
      <c r="C19">
        <v>1</v>
      </c>
      <c r="M19" s="72" t="s">
        <v>67</v>
      </c>
    </row>
    <row r="20" spans="1:13" x14ac:dyDescent="0.4">
      <c r="M20" s="72" t="s">
        <v>98</v>
      </c>
    </row>
    <row r="21" spans="1:13" x14ac:dyDescent="0.4">
      <c r="A21" s="6" t="s">
        <v>25</v>
      </c>
      <c r="B21">
        <v>1</v>
      </c>
      <c r="C21">
        <v>1</v>
      </c>
    </row>
    <row r="22" spans="1:13" x14ac:dyDescent="0.4">
      <c r="A22" s="6" t="s">
        <v>142</v>
      </c>
      <c r="B22">
        <v>1</v>
      </c>
      <c r="C22">
        <v>1</v>
      </c>
      <c r="M22" s="72" t="s">
        <v>68</v>
      </c>
    </row>
    <row r="23" spans="1:13" x14ac:dyDescent="0.4">
      <c r="A23" s="6" t="s">
        <v>26</v>
      </c>
      <c r="B23">
        <v>1</v>
      </c>
      <c r="C23">
        <v>1</v>
      </c>
      <c r="M23" s="72" t="s">
        <v>99</v>
      </c>
    </row>
    <row r="24" spans="1:13" x14ac:dyDescent="0.4">
      <c r="A24" s="6" t="s">
        <v>27</v>
      </c>
      <c r="B24">
        <v>1</v>
      </c>
      <c r="C24">
        <v>1</v>
      </c>
    </row>
    <row r="26" spans="1:13" x14ac:dyDescent="0.4">
      <c r="A26" s="6" t="s">
        <v>28</v>
      </c>
      <c r="B26">
        <v>1</v>
      </c>
      <c r="C26">
        <v>1</v>
      </c>
    </row>
    <row r="27" spans="1:13" x14ac:dyDescent="0.4">
      <c r="A27" s="6" t="s">
        <v>29</v>
      </c>
      <c r="B27">
        <v>1</v>
      </c>
      <c r="C27">
        <v>1</v>
      </c>
    </row>
    <row r="28" spans="1:13" x14ac:dyDescent="0.4">
      <c r="A28" s="6" t="s">
        <v>30</v>
      </c>
      <c r="B28">
        <v>1</v>
      </c>
      <c r="C28">
        <v>1</v>
      </c>
    </row>
    <row r="29" spans="1:13" x14ac:dyDescent="0.4">
      <c r="A29" s="6" t="s">
        <v>31</v>
      </c>
      <c r="B29">
        <v>1</v>
      </c>
      <c r="C29">
        <v>1</v>
      </c>
    </row>
    <row r="30" spans="1:13" x14ac:dyDescent="0.4">
      <c r="A30" s="6" t="s">
        <v>32</v>
      </c>
      <c r="B30">
        <v>1</v>
      </c>
      <c r="C30">
        <v>1</v>
      </c>
    </row>
    <row r="31" spans="1:13" x14ac:dyDescent="0.4">
      <c r="A31" s="6" t="s">
        <v>33</v>
      </c>
      <c r="B31">
        <v>1</v>
      </c>
      <c r="C31">
        <v>1</v>
      </c>
    </row>
    <row r="33" spans="1:3" x14ac:dyDescent="0.4">
      <c r="A33" s="6" t="s">
        <v>42</v>
      </c>
      <c r="B33">
        <v>1</v>
      </c>
      <c r="C33">
        <v>1</v>
      </c>
    </row>
    <row r="34" spans="1:3" x14ac:dyDescent="0.4">
      <c r="A34" s="6" t="s">
        <v>38</v>
      </c>
      <c r="B34">
        <v>1</v>
      </c>
      <c r="C34">
        <v>1</v>
      </c>
    </row>
    <row r="35" spans="1:3" x14ac:dyDescent="0.4">
      <c r="A35" s="6" t="s">
        <v>41</v>
      </c>
      <c r="B35">
        <v>1</v>
      </c>
      <c r="C35">
        <v>1</v>
      </c>
    </row>
    <row r="37" spans="1:3" x14ac:dyDescent="0.4">
      <c r="A37" s="6" t="s">
        <v>35</v>
      </c>
      <c r="B37">
        <v>1</v>
      </c>
      <c r="C37">
        <v>1</v>
      </c>
    </row>
    <row r="38" spans="1:3" x14ac:dyDescent="0.4">
      <c r="A38" s="6" t="s">
        <v>37</v>
      </c>
      <c r="B38">
        <v>1</v>
      </c>
      <c r="C38">
        <v>1</v>
      </c>
    </row>
    <row r="39" spans="1:3" x14ac:dyDescent="0.4">
      <c r="A39" s="6" t="s">
        <v>39</v>
      </c>
      <c r="B39">
        <v>1</v>
      </c>
      <c r="C39">
        <v>1</v>
      </c>
    </row>
    <row r="40" spans="1:3" x14ac:dyDescent="0.4">
      <c r="A40" s="6" t="s">
        <v>43</v>
      </c>
      <c r="B40">
        <v>1</v>
      </c>
      <c r="C40">
        <v>1</v>
      </c>
    </row>
    <row r="41" spans="1:3" x14ac:dyDescent="0.4">
      <c r="A41" s="6" t="s">
        <v>34</v>
      </c>
      <c r="B41">
        <v>1</v>
      </c>
      <c r="C41">
        <v>1</v>
      </c>
    </row>
    <row r="42" spans="1:3" x14ac:dyDescent="0.4">
      <c r="A42" s="6" t="s">
        <v>36</v>
      </c>
      <c r="B42">
        <v>1</v>
      </c>
      <c r="C42">
        <v>1</v>
      </c>
    </row>
    <row r="43" spans="1:3" x14ac:dyDescent="0.4">
      <c r="A43" s="6" t="s">
        <v>40</v>
      </c>
      <c r="B43">
        <v>1</v>
      </c>
      <c r="C43">
        <v>1</v>
      </c>
    </row>
  </sheetData>
  <sheetProtection sheet="1" objects="1" scenarios="1"/>
  <mergeCells count="1">
    <mergeCell ref="P7:Q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93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G14" sqref="G14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22" ht="40.049999999999997" customHeight="1" x14ac:dyDescent="0.5">
      <c r="A1" s="195" t="str">
        <f ca="1">TEXT(SheetName,"yyyyy-mm-dd   aaaa")&amp;"     播 出 科 值 班 日 志"</f>
        <v>空白表     播 出 科 值 班 日 志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7"/>
    </row>
    <row r="2" spans="1:22" ht="24" customHeight="1" x14ac:dyDescent="0.5">
      <c r="A2" s="77"/>
      <c r="B2" s="198" t="s">
        <v>56</v>
      </c>
      <c r="C2" s="199"/>
      <c r="D2" s="78" t="s">
        <v>103</v>
      </c>
      <c r="E2" s="198" t="s">
        <v>44</v>
      </c>
      <c r="F2" s="199"/>
      <c r="G2" s="200"/>
      <c r="H2" s="201"/>
      <c r="I2" s="202"/>
      <c r="J2" s="203"/>
      <c r="K2" s="79"/>
      <c r="L2" s="80"/>
      <c r="M2" s="81"/>
      <c r="N2" s="80"/>
      <c r="O2" s="82"/>
      <c r="P2" s="80"/>
      <c r="Q2" s="83"/>
    </row>
    <row r="3" spans="1:22" s="4" customFormat="1" ht="16.05" customHeight="1" x14ac:dyDescent="0.45">
      <c r="A3" s="77"/>
      <c r="B3" s="204" t="s">
        <v>9</v>
      </c>
      <c r="C3" s="206" t="s">
        <v>10</v>
      </c>
      <c r="D3" s="204" t="s">
        <v>11</v>
      </c>
      <c r="E3" s="208" t="s">
        <v>17</v>
      </c>
      <c r="F3" s="209"/>
      <c r="G3" s="208" t="s">
        <v>53</v>
      </c>
      <c r="H3" s="209"/>
      <c r="I3" s="204" t="s">
        <v>57</v>
      </c>
      <c r="J3" s="210" t="s">
        <v>8</v>
      </c>
      <c r="K3" s="211"/>
      <c r="L3" s="212" t="s">
        <v>14</v>
      </c>
      <c r="M3" s="84"/>
      <c r="N3" s="214" t="s">
        <v>97</v>
      </c>
      <c r="O3" s="216" t="s">
        <v>57</v>
      </c>
      <c r="P3" s="217"/>
      <c r="Q3" s="193" t="s">
        <v>16</v>
      </c>
    </row>
    <row r="4" spans="1:22" s="10" customFormat="1" ht="16.05" customHeight="1" x14ac:dyDescent="0.45">
      <c r="A4" s="85"/>
      <c r="B4" s="205"/>
      <c r="C4" s="207"/>
      <c r="D4" s="205"/>
      <c r="E4" s="86" t="s">
        <v>54</v>
      </c>
      <c r="F4" s="86" t="s">
        <v>55</v>
      </c>
      <c r="G4" s="87" t="s">
        <v>12</v>
      </c>
      <c r="H4" s="88" t="s">
        <v>13</v>
      </c>
      <c r="I4" s="205"/>
      <c r="J4" s="92" t="s">
        <v>12</v>
      </c>
      <c r="K4" s="92" t="s">
        <v>13</v>
      </c>
      <c r="L4" s="213"/>
      <c r="M4" s="89" t="s">
        <v>15</v>
      </c>
      <c r="N4" s="215"/>
      <c r="O4" s="218"/>
      <c r="P4" s="219"/>
      <c r="Q4" s="194"/>
    </row>
    <row r="5" spans="1:22" s="10" customFormat="1" ht="20" customHeight="1" x14ac:dyDescent="0.5">
      <c r="A5" s="54"/>
      <c r="B5" s="189" t="s">
        <v>96</v>
      </c>
      <c r="C5" s="190"/>
      <c r="D5" s="191"/>
      <c r="E5" s="30">
        <v>0.49305555555555558</v>
      </c>
      <c r="F5" s="31">
        <v>0.54166666666666663</v>
      </c>
      <c r="G5" s="183" t="str">
        <f>IF(L5="","",IF(G5="",$G$2,G5))</f>
        <v/>
      </c>
      <c r="H5" s="184"/>
      <c r="I5" s="183" t="str">
        <f ca="1">IF(L5="","",IF(I5="",TEXT(NOW(),"yyyy-mm-dd h:mm:ss"),I5))</f>
        <v/>
      </c>
      <c r="J5" s="192"/>
      <c r="K5" s="184"/>
      <c r="L5" s="33"/>
      <c r="M5" s="45" t="str">
        <f t="shared" ref="M5:M20" ca="1" si="0">IF(M5=0,"",IF(L5&lt;&gt;M5,L5,M5))</f>
        <v/>
      </c>
      <c r="N5" s="47" t="str">
        <f>IF(L5="未完成","×",IF(L5="已完成","√",""))</f>
        <v/>
      </c>
      <c r="O5" s="187" t="str">
        <f>IF(L5="","",IF(AND(TEXT(I5,"yyyymmddhhmmss")&gt;TEXT(SheetName,"yyyymmdd")&amp;TEXT(E5,"hhmmss"),TEXT(I5,"yyyymmddhhmmss")&lt;TEXT(SheetName,"yyyymmdd")&amp;TEXT(F5,"hhmmss")),"","超  时"))</f>
        <v/>
      </c>
      <c r="P5" s="188"/>
      <c r="Q5" s="48"/>
    </row>
    <row r="6" spans="1:22" s="8" customFormat="1" ht="20" customHeight="1" x14ac:dyDescent="0.5">
      <c r="A6" s="55"/>
      <c r="B6" s="56">
        <v>1</v>
      </c>
      <c r="C6" s="23" t="s">
        <v>48</v>
      </c>
      <c r="D6" s="24" t="s">
        <v>18</v>
      </c>
      <c r="E6" s="30">
        <v>0.49305555555555558</v>
      </c>
      <c r="F6" s="31">
        <v>0.75</v>
      </c>
      <c r="G6" s="44" t="str">
        <f t="shared" ref="G6:G20" si="1">IF(L6="","",IF(G6="",$G$2,G6))</f>
        <v/>
      </c>
      <c r="H6" s="44" t="str">
        <f t="shared" ref="H6:H20" ca="1" si="2">IF(L6="","",IF(H6="",TEXT(NOW(),"yyyy-mm-dd h:mm:ss"),H6))</f>
        <v/>
      </c>
      <c r="I6" s="41" t="str">
        <f t="shared" ref="I6:I20" si="3">IF(L6="","",IF(AND(TEXT(H6,"yyyymmddhhmmss")&gt;TEXT(SheetName,"yyyymmdd")&amp;TEXT(E6,"hhmmss"),TEXT(H6,"yyyymmddhhmmss")&lt;TEXT(SheetName,"yyyymmdd")&amp;TEXT(F6,"hhmmss")),"","超  时"))</f>
        <v/>
      </c>
      <c r="J6" s="44" t="str">
        <f t="shared" ref="J6:J20" si="4">IF(L6 ="","",IF(L6&lt;&gt;M6,$G$2,J6))</f>
        <v/>
      </c>
      <c r="K6" s="44" t="str">
        <f t="shared" ref="K6:K20" ca="1" si="5">IF(L6 = "","",IF(L6&lt;&gt;M6,TEXT(NOW(),"yyyy-mm-dd h:mm:ss"),K6))</f>
        <v/>
      </c>
      <c r="L6" s="18"/>
      <c r="M6" s="5" t="str">
        <f t="shared" ca="1" si="0"/>
        <v/>
      </c>
      <c r="N6" s="42" t="str">
        <f t="shared" ref="N6:N20" si="6">IF(L6="未完成","×",IF(L6="已完成","√",""))</f>
        <v/>
      </c>
      <c r="O6" s="187" t="str">
        <f t="shared" ref="O6:O20" si="7">IF(L6="","",IF(AND(TEXT(K6,"yyyymmddhhmmss")&gt;TEXT(SheetName,"yyyymmdd")&amp;TEXT(E6,"hhmmss"),TEXT(K6,"yyyymmddhhmmss")&lt;TEXT(SheetName,"yyyymmdd")&amp;TEXT(F6,"hhmmss")),"","超  时"))</f>
        <v/>
      </c>
      <c r="P6" s="188"/>
      <c r="Q6" s="68"/>
    </row>
    <row r="7" spans="1:22" s="2" customFormat="1" ht="20" customHeight="1" x14ac:dyDescent="0.5">
      <c r="A7" s="55"/>
      <c r="B7" s="56">
        <v>2</v>
      </c>
      <c r="C7" s="23" t="s">
        <v>48</v>
      </c>
      <c r="D7" s="24" t="s">
        <v>104</v>
      </c>
      <c r="E7" s="30">
        <v>0.49305555555555558</v>
      </c>
      <c r="F7" s="31">
        <v>0.75</v>
      </c>
      <c r="G7" s="44" t="str">
        <f t="shared" si="1"/>
        <v/>
      </c>
      <c r="H7" s="44" t="str">
        <f t="shared" ca="1" si="2"/>
        <v/>
      </c>
      <c r="I7" s="41" t="str">
        <f t="shared" si="3"/>
        <v/>
      </c>
      <c r="J7" s="44" t="str">
        <f t="shared" si="4"/>
        <v/>
      </c>
      <c r="K7" s="44" t="str">
        <f t="shared" ca="1" si="5"/>
        <v/>
      </c>
      <c r="L7" s="18"/>
      <c r="M7" s="5" t="str">
        <f t="shared" ca="1" si="0"/>
        <v/>
      </c>
      <c r="N7" s="42" t="str">
        <f t="shared" si="6"/>
        <v/>
      </c>
      <c r="O7" s="187" t="str">
        <f t="shared" si="7"/>
        <v/>
      </c>
      <c r="P7" s="188"/>
      <c r="Q7" s="68"/>
      <c r="R7" s="8"/>
    </row>
    <row r="8" spans="1:22" s="2" customFormat="1" ht="20" customHeight="1" x14ac:dyDescent="0.5">
      <c r="A8" s="55"/>
      <c r="B8" s="56">
        <v>3</v>
      </c>
      <c r="C8" s="23" t="s">
        <v>48</v>
      </c>
      <c r="D8" s="24" t="s">
        <v>105</v>
      </c>
      <c r="E8" s="30">
        <v>0.49305555555555558</v>
      </c>
      <c r="F8" s="31">
        <v>0.75</v>
      </c>
      <c r="G8" s="44" t="str">
        <f t="shared" si="1"/>
        <v/>
      </c>
      <c r="H8" s="44" t="str">
        <f t="shared" ca="1" si="2"/>
        <v/>
      </c>
      <c r="I8" s="41" t="str">
        <f t="shared" si="3"/>
        <v/>
      </c>
      <c r="J8" s="44" t="str">
        <f t="shared" si="4"/>
        <v/>
      </c>
      <c r="K8" s="44" t="str">
        <f t="shared" ca="1" si="5"/>
        <v/>
      </c>
      <c r="L8" s="18"/>
      <c r="M8" s="5" t="str">
        <f t="shared" ca="1" si="0"/>
        <v/>
      </c>
      <c r="N8" s="42" t="str">
        <f t="shared" si="6"/>
        <v/>
      </c>
      <c r="O8" s="187" t="str">
        <f t="shared" si="7"/>
        <v/>
      </c>
      <c r="P8" s="188"/>
      <c r="Q8" s="69"/>
      <c r="R8" s="8"/>
    </row>
    <row r="9" spans="1:22" s="2" customFormat="1" ht="20" customHeight="1" x14ac:dyDescent="0.5">
      <c r="A9" s="55"/>
      <c r="B9" s="56">
        <v>4</v>
      </c>
      <c r="C9" s="23" t="s">
        <v>48</v>
      </c>
      <c r="D9" s="24" t="s">
        <v>19</v>
      </c>
      <c r="E9" s="30">
        <v>0.49305555555555558</v>
      </c>
      <c r="F9" s="31">
        <v>0.75</v>
      </c>
      <c r="G9" s="44" t="str">
        <f t="shared" si="1"/>
        <v/>
      </c>
      <c r="H9" s="44" t="str">
        <f t="shared" ca="1" si="2"/>
        <v/>
      </c>
      <c r="I9" s="41" t="str">
        <f t="shared" si="3"/>
        <v/>
      </c>
      <c r="J9" s="44" t="str">
        <f t="shared" si="4"/>
        <v/>
      </c>
      <c r="K9" s="44" t="str">
        <f t="shared" ca="1" si="5"/>
        <v/>
      </c>
      <c r="L9" s="18"/>
      <c r="M9" s="5" t="str">
        <f t="shared" ca="1" si="0"/>
        <v/>
      </c>
      <c r="N9" s="42" t="str">
        <f t="shared" si="6"/>
        <v/>
      </c>
      <c r="O9" s="187" t="str">
        <f t="shared" si="7"/>
        <v/>
      </c>
      <c r="P9" s="188"/>
      <c r="Q9" s="70"/>
      <c r="R9" s="8"/>
    </row>
    <row r="10" spans="1:22" s="2" customFormat="1" ht="20" customHeight="1" x14ac:dyDescent="0.5">
      <c r="A10" s="57"/>
      <c r="B10" s="56">
        <v>5</v>
      </c>
      <c r="C10" s="23" t="s">
        <v>48</v>
      </c>
      <c r="D10" s="24" t="s">
        <v>20</v>
      </c>
      <c r="E10" s="30">
        <v>0.49305555555555558</v>
      </c>
      <c r="F10" s="31">
        <v>0.75</v>
      </c>
      <c r="G10" s="44" t="str">
        <f t="shared" si="1"/>
        <v/>
      </c>
      <c r="H10" s="44" t="str">
        <f t="shared" ca="1" si="2"/>
        <v/>
      </c>
      <c r="I10" s="41" t="str">
        <f t="shared" si="3"/>
        <v/>
      </c>
      <c r="J10" s="44" t="str">
        <f t="shared" si="4"/>
        <v/>
      </c>
      <c r="K10" s="44" t="str">
        <f t="shared" ca="1" si="5"/>
        <v/>
      </c>
      <c r="L10" s="18"/>
      <c r="M10" s="5" t="str">
        <f t="shared" ca="1" si="0"/>
        <v/>
      </c>
      <c r="N10" s="42" t="str">
        <f t="shared" si="6"/>
        <v/>
      </c>
      <c r="O10" s="187" t="str">
        <f t="shared" si="7"/>
        <v/>
      </c>
      <c r="P10" s="188"/>
      <c r="Q10" s="48"/>
      <c r="R10" s="8"/>
    </row>
    <row r="11" spans="1:22" s="2" customFormat="1" ht="20" customHeight="1" x14ac:dyDescent="0.5">
      <c r="A11" s="57" t="s">
        <v>51</v>
      </c>
      <c r="B11" s="56">
        <v>6</v>
      </c>
      <c r="C11" s="23" t="s">
        <v>48</v>
      </c>
      <c r="D11" s="24" t="s">
        <v>21</v>
      </c>
      <c r="E11" s="30">
        <v>0.49305555555555558</v>
      </c>
      <c r="F11" s="31">
        <v>0.75</v>
      </c>
      <c r="G11" s="44" t="str">
        <f t="shared" si="1"/>
        <v/>
      </c>
      <c r="H11" s="44" t="str">
        <f t="shared" ca="1" si="2"/>
        <v/>
      </c>
      <c r="I11" s="41" t="str">
        <f t="shared" si="3"/>
        <v/>
      </c>
      <c r="J11" s="44" t="str">
        <f t="shared" si="4"/>
        <v/>
      </c>
      <c r="K11" s="44" t="str">
        <f t="shared" ca="1" si="5"/>
        <v/>
      </c>
      <c r="L11" s="18"/>
      <c r="M11" s="5" t="str">
        <f t="shared" ca="1" si="0"/>
        <v/>
      </c>
      <c r="N11" s="42" t="str">
        <f t="shared" si="6"/>
        <v/>
      </c>
      <c r="O11" s="187" t="str">
        <f t="shared" si="7"/>
        <v/>
      </c>
      <c r="P11" s="188"/>
      <c r="Q11" s="48"/>
      <c r="R11" s="8"/>
    </row>
    <row r="12" spans="1:22" s="2" customFormat="1" ht="20" customHeight="1" x14ac:dyDescent="0.5">
      <c r="A12" s="57"/>
      <c r="B12" s="56">
        <v>7</v>
      </c>
      <c r="C12" s="23" t="s">
        <v>48</v>
      </c>
      <c r="D12" s="24" t="s">
        <v>22</v>
      </c>
      <c r="E12" s="30">
        <v>0.49305555555555558</v>
      </c>
      <c r="F12" s="31">
        <v>0.75</v>
      </c>
      <c r="G12" s="44" t="str">
        <f t="shared" si="1"/>
        <v/>
      </c>
      <c r="H12" s="44" t="str">
        <f t="shared" ca="1" si="2"/>
        <v/>
      </c>
      <c r="I12" s="41" t="str">
        <f t="shared" si="3"/>
        <v/>
      </c>
      <c r="J12" s="44" t="str">
        <f t="shared" si="4"/>
        <v/>
      </c>
      <c r="K12" s="44" t="str">
        <f t="shared" ca="1" si="5"/>
        <v/>
      </c>
      <c r="L12" s="18"/>
      <c r="M12" s="5" t="str">
        <f t="shared" ca="1" si="0"/>
        <v/>
      </c>
      <c r="N12" s="42" t="str">
        <f t="shared" si="6"/>
        <v/>
      </c>
      <c r="O12" s="187" t="str">
        <f t="shared" si="7"/>
        <v/>
      </c>
      <c r="P12" s="188"/>
      <c r="Q12" s="48"/>
      <c r="R12" s="8"/>
    </row>
    <row r="13" spans="1:22" s="2" customFormat="1" ht="20" customHeight="1" x14ac:dyDescent="0.5">
      <c r="A13" s="57"/>
      <c r="B13" s="56">
        <v>8</v>
      </c>
      <c r="C13" s="23" t="s">
        <v>48</v>
      </c>
      <c r="D13" s="24" t="s">
        <v>106</v>
      </c>
      <c r="E13" s="30">
        <v>0.49305555555555558</v>
      </c>
      <c r="F13" s="31">
        <v>0.75</v>
      </c>
      <c r="G13" s="44" t="str">
        <f t="shared" si="1"/>
        <v/>
      </c>
      <c r="H13" s="44" t="str">
        <f t="shared" ca="1" si="2"/>
        <v/>
      </c>
      <c r="I13" s="41" t="str">
        <f t="shared" si="3"/>
        <v/>
      </c>
      <c r="J13" s="44" t="str">
        <f t="shared" si="4"/>
        <v/>
      </c>
      <c r="K13" s="44" t="str">
        <f t="shared" ca="1" si="5"/>
        <v/>
      </c>
      <c r="L13" s="18"/>
      <c r="M13" s="5" t="str">
        <f t="shared" ca="1" si="0"/>
        <v/>
      </c>
      <c r="N13" s="42" t="str">
        <f t="shared" si="6"/>
        <v/>
      </c>
      <c r="O13" s="187" t="str">
        <f t="shared" si="7"/>
        <v/>
      </c>
      <c r="P13" s="188"/>
      <c r="Q13" s="48"/>
      <c r="R13" s="8" t="s">
        <v>52</v>
      </c>
    </row>
    <row r="14" spans="1:22" s="2" customFormat="1" ht="20" customHeight="1" x14ac:dyDescent="0.5">
      <c r="A14" s="55"/>
      <c r="B14" s="56">
        <v>9</v>
      </c>
      <c r="C14" s="23" t="s">
        <v>49</v>
      </c>
      <c r="D14" s="24" t="s">
        <v>24</v>
      </c>
      <c r="E14" s="30">
        <v>0.49305555555555558</v>
      </c>
      <c r="F14" s="31">
        <v>0.75</v>
      </c>
      <c r="G14" s="44" t="str">
        <f t="shared" si="1"/>
        <v/>
      </c>
      <c r="H14" s="44" t="str">
        <f t="shared" ca="1" si="2"/>
        <v/>
      </c>
      <c r="I14" s="41" t="str">
        <f t="shared" si="3"/>
        <v/>
      </c>
      <c r="J14" s="44" t="str">
        <f t="shared" si="4"/>
        <v/>
      </c>
      <c r="K14" s="44" t="str">
        <f t="shared" ca="1" si="5"/>
        <v/>
      </c>
      <c r="L14" s="18"/>
      <c r="M14" s="5" t="str">
        <f t="shared" ca="1" si="0"/>
        <v/>
      </c>
      <c r="N14" s="42" t="str">
        <f t="shared" si="6"/>
        <v/>
      </c>
      <c r="O14" s="187" t="str">
        <f t="shared" si="7"/>
        <v/>
      </c>
      <c r="P14" s="188"/>
      <c r="Q14" s="48"/>
      <c r="R14" s="8"/>
    </row>
    <row r="15" spans="1:22" s="2" customFormat="1" ht="20" customHeight="1" x14ac:dyDescent="0.5">
      <c r="A15" s="55"/>
      <c r="B15" s="56">
        <v>10</v>
      </c>
      <c r="C15" s="23" t="s">
        <v>49</v>
      </c>
      <c r="D15" s="24" t="s">
        <v>23</v>
      </c>
      <c r="E15" s="30">
        <v>0.49305555555555558</v>
      </c>
      <c r="F15" s="31">
        <v>0.75</v>
      </c>
      <c r="G15" s="44" t="str">
        <f t="shared" si="1"/>
        <v/>
      </c>
      <c r="H15" s="44" t="str">
        <f t="shared" ca="1" si="2"/>
        <v/>
      </c>
      <c r="I15" s="41" t="str">
        <f t="shared" si="3"/>
        <v/>
      </c>
      <c r="J15" s="44" t="str">
        <f t="shared" si="4"/>
        <v/>
      </c>
      <c r="K15" s="44" t="str">
        <f t="shared" ca="1" si="5"/>
        <v/>
      </c>
      <c r="L15" s="18"/>
      <c r="M15" s="5" t="str">
        <f t="shared" ca="1" si="0"/>
        <v/>
      </c>
      <c r="N15" s="42" t="str">
        <f t="shared" si="6"/>
        <v/>
      </c>
      <c r="O15" s="187" t="str">
        <f t="shared" si="7"/>
        <v/>
      </c>
      <c r="P15" s="188"/>
      <c r="Q15" s="48"/>
      <c r="R15" s="8"/>
    </row>
    <row r="16" spans="1:22" s="2" customFormat="1" ht="19.899999999999999" customHeight="1" x14ac:dyDescent="0.5">
      <c r="A16" s="55"/>
      <c r="B16" s="56">
        <v>11</v>
      </c>
      <c r="C16" s="23" t="s">
        <v>107</v>
      </c>
      <c r="D16" s="24" t="s">
        <v>157</v>
      </c>
      <c r="E16" s="31">
        <v>0.68055555555555547</v>
      </c>
      <c r="F16" s="31">
        <v>0.75</v>
      </c>
      <c r="G16" s="44" t="str">
        <f t="shared" si="1"/>
        <v/>
      </c>
      <c r="H16" s="44" t="str">
        <f t="shared" ca="1" si="2"/>
        <v/>
      </c>
      <c r="I16" s="41" t="str">
        <f t="shared" si="3"/>
        <v/>
      </c>
      <c r="J16" s="44" t="str">
        <f t="shared" si="4"/>
        <v/>
      </c>
      <c r="K16" s="44" t="str">
        <f t="shared" ca="1" si="5"/>
        <v/>
      </c>
      <c r="L16" s="18"/>
      <c r="M16" s="5" t="str">
        <f t="shared" ca="1" si="0"/>
        <v/>
      </c>
      <c r="N16" s="42" t="str">
        <f t="shared" si="6"/>
        <v/>
      </c>
      <c r="O16" s="187" t="str">
        <f t="shared" si="7"/>
        <v/>
      </c>
      <c r="P16" s="188"/>
      <c r="Q16" s="48"/>
      <c r="R16" s="8"/>
      <c r="V16" s="53"/>
    </row>
    <row r="17" spans="1:22" s="2" customFormat="1" ht="19.899999999999999" customHeight="1" x14ac:dyDescent="0.5">
      <c r="A17" s="55"/>
      <c r="B17" s="56">
        <v>12</v>
      </c>
      <c r="C17" s="23" t="s">
        <v>107</v>
      </c>
      <c r="D17" s="24" t="s">
        <v>154</v>
      </c>
      <c r="E17" s="31">
        <v>0.68055555555555547</v>
      </c>
      <c r="F17" s="31">
        <v>0.75</v>
      </c>
      <c r="G17" s="44" t="str">
        <f t="shared" ref="G17:G19" si="8">IF(L17="","",IF(G17="",$G$2,G17))</f>
        <v/>
      </c>
      <c r="H17" s="44" t="str">
        <f t="shared" ref="H17:H19" ca="1" si="9">IF(L17="","",IF(H17="",TEXT(NOW(),"yyyy-mm-dd h:mm:ss"),H17))</f>
        <v/>
      </c>
      <c r="I17" s="41" t="str">
        <f t="shared" ref="I17:I19" si="10">IF(L17="","",IF(AND(TEXT(H17,"yyyymmddhhmmss")&gt;TEXT(SheetName,"yyyymmdd")&amp;TEXT(E17,"hhmmss"),TEXT(H17,"yyyymmddhhmmss")&lt;TEXT(SheetName,"yyyymmdd")&amp;TEXT(F17,"hhmmss")),"","超  时"))</f>
        <v/>
      </c>
      <c r="J17" s="44" t="str">
        <f t="shared" ref="J17:J19" si="11">IF(L17 ="","",IF(L17&lt;&gt;M17,$G$2,J17))</f>
        <v/>
      </c>
      <c r="K17" s="44" t="str">
        <f t="shared" ref="K17:K19" ca="1" si="12">IF(L17 = "","",IF(L17&lt;&gt;M17,TEXT(NOW(),"yyyy-mm-dd h:mm:ss"),K17))</f>
        <v/>
      </c>
      <c r="L17" s="18"/>
      <c r="M17" s="5" t="str">
        <f t="shared" ref="M17:M19" ca="1" si="13">IF(M17=0,"",IF(L17&lt;&gt;M17,L17,M17))</f>
        <v/>
      </c>
      <c r="N17" s="42" t="str">
        <f t="shared" ref="N17:N19" si="14">IF(L17="未完成","×",IF(L17="已完成","√",""))</f>
        <v/>
      </c>
      <c r="O17" s="187" t="str">
        <f t="shared" ref="O17:O19" si="15">IF(L17="","",IF(AND(TEXT(K17,"yyyymmddhhmmss")&gt;TEXT(SheetName,"yyyymmdd")&amp;TEXT(E17,"hhmmss"),TEXT(K17,"yyyymmddhhmmss")&lt;TEXT(SheetName,"yyyymmdd")&amp;TEXT(F17,"hhmmss")),"","超  时"))</f>
        <v/>
      </c>
      <c r="P17" s="188"/>
      <c r="Q17" s="48"/>
      <c r="R17" s="8"/>
      <c r="V17" s="53"/>
    </row>
    <row r="18" spans="1:22" s="2" customFormat="1" ht="19.899999999999999" customHeight="1" x14ac:dyDescent="0.5">
      <c r="A18" s="55"/>
      <c r="B18" s="56">
        <v>13</v>
      </c>
      <c r="C18" s="23" t="s">
        <v>107</v>
      </c>
      <c r="D18" s="24" t="s">
        <v>155</v>
      </c>
      <c r="E18" s="31">
        <v>0.68055555555555547</v>
      </c>
      <c r="F18" s="31">
        <v>0.75</v>
      </c>
      <c r="G18" s="44" t="str">
        <f t="shared" si="8"/>
        <v/>
      </c>
      <c r="H18" s="44" t="str">
        <f t="shared" ca="1" si="9"/>
        <v/>
      </c>
      <c r="I18" s="41" t="str">
        <f t="shared" si="10"/>
        <v/>
      </c>
      <c r="J18" s="44" t="str">
        <f t="shared" si="11"/>
        <v/>
      </c>
      <c r="K18" s="44" t="str">
        <f t="shared" ca="1" si="12"/>
        <v/>
      </c>
      <c r="L18" s="18"/>
      <c r="M18" s="5" t="str">
        <f t="shared" ca="1" si="13"/>
        <v/>
      </c>
      <c r="N18" s="42" t="str">
        <f t="shared" si="14"/>
        <v/>
      </c>
      <c r="O18" s="187" t="str">
        <f t="shared" si="15"/>
        <v/>
      </c>
      <c r="P18" s="188"/>
      <c r="Q18" s="48"/>
      <c r="R18" s="8"/>
      <c r="V18" s="53"/>
    </row>
    <row r="19" spans="1:22" s="2" customFormat="1" ht="19.899999999999999" customHeight="1" x14ac:dyDescent="0.5">
      <c r="A19" s="55"/>
      <c r="B19" s="56">
        <v>14</v>
      </c>
      <c r="C19" s="23" t="s">
        <v>107</v>
      </c>
      <c r="D19" s="24" t="s">
        <v>156</v>
      </c>
      <c r="E19" s="31">
        <v>0.68055555555555547</v>
      </c>
      <c r="F19" s="31">
        <v>0.75</v>
      </c>
      <c r="G19" s="44" t="str">
        <f t="shared" si="8"/>
        <v/>
      </c>
      <c r="H19" s="44" t="str">
        <f t="shared" ca="1" si="9"/>
        <v/>
      </c>
      <c r="I19" s="41" t="str">
        <f t="shared" si="10"/>
        <v/>
      </c>
      <c r="J19" s="44" t="str">
        <f t="shared" si="11"/>
        <v/>
      </c>
      <c r="K19" s="44" t="str">
        <f t="shared" ca="1" si="12"/>
        <v/>
      </c>
      <c r="L19" s="18"/>
      <c r="M19" s="5" t="str">
        <f t="shared" ca="1" si="13"/>
        <v/>
      </c>
      <c r="N19" s="42" t="str">
        <f t="shared" si="14"/>
        <v/>
      </c>
      <c r="O19" s="187" t="str">
        <f t="shared" si="15"/>
        <v/>
      </c>
      <c r="P19" s="188"/>
      <c r="Q19" s="48"/>
      <c r="R19" s="8"/>
      <c r="V19" s="53"/>
    </row>
    <row r="20" spans="1:22" s="2" customFormat="1" ht="20" customHeight="1" x14ac:dyDescent="0.5">
      <c r="A20" s="55"/>
      <c r="B20" s="56">
        <v>15</v>
      </c>
      <c r="C20" s="23" t="s">
        <v>50</v>
      </c>
      <c r="D20" s="24" t="s">
        <v>108</v>
      </c>
      <c r="E20" s="31">
        <v>0.72222222222222221</v>
      </c>
      <c r="F20" s="31">
        <v>0.75</v>
      </c>
      <c r="G20" s="44" t="str">
        <f t="shared" si="1"/>
        <v/>
      </c>
      <c r="H20" s="44" t="str">
        <f t="shared" ca="1" si="2"/>
        <v/>
      </c>
      <c r="I20" s="41" t="str">
        <f t="shared" si="3"/>
        <v/>
      </c>
      <c r="J20" s="44" t="str">
        <f t="shared" si="4"/>
        <v/>
      </c>
      <c r="K20" s="44" t="str">
        <f t="shared" ca="1" si="5"/>
        <v/>
      </c>
      <c r="L20" s="18"/>
      <c r="M20" s="5" t="str">
        <f t="shared" ca="1" si="0"/>
        <v/>
      </c>
      <c r="N20" s="42" t="str">
        <f t="shared" si="6"/>
        <v/>
      </c>
      <c r="O20" s="187" t="str">
        <f t="shared" si="7"/>
        <v/>
      </c>
      <c r="P20" s="188"/>
      <c r="Q20" s="48"/>
      <c r="R20" s="8"/>
    </row>
    <row r="21" spans="1:22" s="2" customFormat="1" ht="20" customHeight="1" x14ac:dyDescent="0.5">
      <c r="A21" s="55"/>
      <c r="B21" s="178" t="s">
        <v>80</v>
      </c>
      <c r="C21" s="179"/>
      <c r="D21" s="46" t="s">
        <v>127</v>
      </c>
      <c r="E21" s="180" t="s">
        <v>73</v>
      </c>
      <c r="F21" s="181"/>
      <c r="G21" s="90" t="s">
        <v>74</v>
      </c>
      <c r="H21" s="180" t="s">
        <v>78</v>
      </c>
      <c r="I21" s="181"/>
      <c r="J21" s="90" t="s">
        <v>79</v>
      </c>
      <c r="K21" s="93" t="s">
        <v>81</v>
      </c>
      <c r="L21" s="180" t="s">
        <v>71</v>
      </c>
      <c r="M21" s="182"/>
      <c r="N21" s="182"/>
      <c r="O21" s="182"/>
      <c r="P21" s="181"/>
      <c r="Q21" s="91" t="s">
        <v>72</v>
      </c>
      <c r="R21" s="8"/>
    </row>
    <row r="22" spans="1:22" s="2" customFormat="1" ht="30" customHeight="1" x14ac:dyDescent="0.5">
      <c r="A22" s="55"/>
      <c r="B22" s="183" t="s">
        <v>75</v>
      </c>
      <c r="C22" s="184"/>
      <c r="D22" s="51"/>
      <c r="E22" s="168"/>
      <c r="F22" s="169"/>
      <c r="G22" s="52"/>
      <c r="H22" s="185"/>
      <c r="I22" s="186"/>
      <c r="J22" s="44" t="str">
        <f>IF(L22 ="","",IF(L22&lt;&gt;M22,$G$2,J22))</f>
        <v/>
      </c>
      <c r="K22" s="75" t="str">
        <f ca="1">IF(L22 = "","",IF(L22&lt;&gt;M22,TEXT(NOW(),"yyyy-mm-dd h:mm:ss"),K22))</f>
        <v/>
      </c>
      <c r="L22" s="18"/>
      <c r="M22" s="71" t="str">
        <f t="shared" ref="M22:M23" ca="1" si="16">IF(M22=0,"",IF(L22&lt;&gt;M22,L22,M22))</f>
        <v/>
      </c>
      <c r="N22" s="172" t="str">
        <f>IF(L22="未完成","×",IF(L22="已完成","√",""))</f>
        <v/>
      </c>
      <c r="O22" s="173"/>
      <c r="P22" s="174"/>
      <c r="Q22" s="64"/>
      <c r="R22" s="8"/>
    </row>
    <row r="23" spans="1:22" s="2" customFormat="1" ht="30" customHeight="1" x14ac:dyDescent="0.5">
      <c r="A23" s="55"/>
      <c r="B23" s="183" t="s">
        <v>76</v>
      </c>
      <c r="C23" s="184"/>
      <c r="D23" s="51"/>
      <c r="E23" s="168"/>
      <c r="F23" s="169"/>
      <c r="G23" s="52"/>
      <c r="H23" s="185"/>
      <c r="I23" s="186"/>
      <c r="J23" s="44" t="str">
        <f t="shared" ref="J23" si="17">IF(L23 ="","",IF(L23&lt;&gt;M23,$G$2,J23))</f>
        <v/>
      </c>
      <c r="K23" s="75" t="str">
        <f ca="1">IF(L23 = "","",IF(L23&lt;&gt;M23,TEXT(NOW(),"yyyy-mm-dd h:mm:ss"),K23))</f>
        <v/>
      </c>
      <c r="L23" s="18"/>
      <c r="M23" s="45" t="str">
        <f t="shared" ca="1" si="16"/>
        <v/>
      </c>
      <c r="N23" s="170" t="str">
        <f>IF(L23="未完成","×",IF(L23="已完成","√",""))</f>
        <v/>
      </c>
      <c r="O23" s="170"/>
      <c r="P23" s="171"/>
      <c r="Q23" s="65"/>
      <c r="R23" s="8"/>
    </row>
    <row r="24" spans="1:22" s="2" customFormat="1" ht="20" customHeight="1" x14ac:dyDescent="0.5">
      <c r="A24" s="55"/>
      <c r="B24" s="178" t="s">
        <v>114</v>
      </c>
      <c r="C24" s="179"/>
      <c r="D24" s="46" t="s">
        <v>77</v>
      </c>
      <c r="E24" s="180" t="s">
        <v>111</v>
      </c>
      <c r="F24" s="181"/>
      <c r="G24" s="90" t="s">
        <v>74</v>
      </c>
      <c r="H24" s="90" t="s">
        <v>113</v>
      </c>
      <c r="I24" s="90" t="s">
        <v>112</v>
      </c>
      <c r="J24" s="90" t="s">
        <v>79</v>
      </c>
      <c r="K24" s="93" t="s">
        <v>81</v>
      </c>
      <c r="L24" s="180" t="s">
        <v>71</v>
      </c>
      <c r="M24" s="182"/>
      <c r="N24" s="182"/>
      <c r="O24" s="182"/>
      <c r="P24" s="181"/>
      <c r="Q24" s="91" t="s">
        <v>72</v>
      </c>
      <c r="R24" s="8"/>
    </row>
    <row r="25" spans="1:22" s="2" customFormat="1" ht="20" customHeight="1" x14ac:dyDescent="0.5">
      <c r="A25" s="55"/>
      <c r="B25" s="175" t="s">
        <v>115</v>
      </c>
      <c r="C25" s="95"/>
      <c r="D25" s="51"/>
      <c r="E25" s="168"/>
      <c r="F25" s="169"/>
      <c r="G25" s="52"/>
      <c r="H25" s="105" t="str">
        <f ca="1">IF(I25 = "", "", TEXT(NOW(),"yy-mm-dd hh:mm:ss"))</f>
        <v/>
      </c>
      <c r="I25" s="94"/>
      <c r="J25" s="44" t="s">
        <v>110</v>
      </c>
      <c r="K25" s="75" t="str">
        <f ca="1">IF(L25 = "","",IF(L25&lt;&gt;M25,TEXT(NOW(),"yyyy-mm-dd h:mm:ss"),K25))</f>
        <v/>
      </c>
      <c r="L25" s="18"/>
      <c r="M25" s="71" t="s">
        <v>110</v>
      </c>
      <c r="N25" s="172" t="s">
        <v>110</v>
      </c>
      <c r="O25" s="173"/>
      <c r="P25" s="174"/>
      <c r="Q25" s="64"/>
      <c r="R25" s="8"/>
    </row>
    <row r="26" spans="1:22" s="2" customFormat="1" ht="20" customHeight="1" x14ac:dyDescent="0.5">
      <c r="A26" s="55"/>
      <c r="B26" s="176"/>
      <c r="C26" s="95"/>
      <c r="D26" s="51"/>
      <c r="E26" s="168"/>
      <c r="F26" s="169"/>
      <c r="G26" s="52"/>
      <c r="H26" s="105" t="str">
        <f t="shared" ref="H26:H27" ca="1" si="18">IF(I26 = "", "", TEXT(NOW(),"yy-mm-dd hh:mm:ss"))</f>
        <v/>
      </c>
      <c r="I26" s="94"/>
      <c r="J26" s="44" t="s">
        <v>110</v>
      </c>
      <c r="K26" s="75" t="str">
        <f t="shared" ref="K26:K27" ca="1" si="19">IF(L26 = "","",IF(L26&lt;&gt;M26,TEXT(NOW(),"yyyy-mm-dd h:mm:ss"),K26))</f>
        <v/>
      </c>
      <c r="L26" s="18"/>
      <c r="M26" s="45" t="s">
        <v>110</v>
      </c>
      <c r="N26" s="170" t="s">
        <v>110</v>
      </c>
      <c r="O26" s="170"/>
      <c r="P26" s="171"/>
      <c r="Q26" s="65"/>
      <c r="R26" s="8"/>
    </row>
    <row r="27" spans="1:22" s="2" customFormat="1" ht="20" customHeight="1" x14ac:dyDescent="0.5">
      <c r="A27" s="55"/>
      <c r="B27" s="177"/>
      <c r="C27" s="95"/>
      <c r="D27" s="51"/>
      <c r="E27" s="168"/>
      <c r="F27" s="169"/>
      <c r="G27" s="52"/>
      <c r="H27" s="105" t="str">
        <f t="shared" ca="1" si="18"/>
        <v/>
      </c>
      <c r="I27" s="94"/>
      <c r="J27" s="44" t="s">
        <v>110</v>
      </c>
      <c r="K27" s="75" t="str">
        <f t="shared" ca="1" si="19"/>
        <v/>
      </c>
      <c r="L27" s="18"/>
      <c r="M27" s="71" t="s">
        <v>110</v>
      </c>
      <c r="N27" s="172" t="s">
        <v>110</v>
      </c>
      <c r="O27" s="173"/>
      <c r="P27" s="174"/>
      <c r="Q27" s="64"/>
      <c r="R27" s="8"/>
    </row>
    <row r="28" spans="1:22" s="2" customFormat="1" ht="40.049999999999997" customHeight="1" x14ac:dyDescent="0.5">
      <c r="A28" s="55"/>
      <c r="B28" s="154" t="s">
        <v>116</v>
      </c>
      <c r="C28" s="156"/>
      <c r="D28" s="157"/>
      <c r="E28" s="157"/>
      <c r="F28" s="157"/>
      <c r="G28" s="157"/>
      <c r="H28" s="158"/>
      <c r="I28" s="96" t="s">
        <v>118</v>
      </c>
      <c r="J28" s="162"/>
      <c r="K28" s="163"/>
      <c r="L28" s="163"/>
      <c r="M28" s="163"/>
      <c r="N28" s="163"/>
      <c r="O28" s="163"/>
      <c r="P28" s="163"/>
      <c r="Q28" s="164"/>
    </row>
    <row r="29" spans="1:22" s="2" customFormat="1" ht="40.15" customHeight="1" x14ac:dyDescent="0.5">
      <c r="A29" s="58"/>
      <c r="B29" s="155"/>
      <c r="C29" s="159"/>
      <c r="D29" s="160"/>
      <c r="E29" s="160"/>
      <c r="F29" s="160"/>
      <c r="G29" s="160"/>
      <c r="H29" s="161"/>
      <c r="I29" s="97" t="s">
        <v>117</v>
      </c>
      <c r="J29" s="165"/>
      <c r="K29" s="166"/>
      <c r="L29" s="166"/>
      <c r="M29" s="166"/>
      <c r="N29" s="166"/>
      <c r="O29" s="166"/>
      <c r="P29" s="166"/>
      <c r="Q29" s="167"/>
    </row>
    <row r="30" spans="1:22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22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22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s="8" customFormat="1" ht="20" hidden="1" customHeight="1" x14ac:dyDescent="0.5">
      <c r="A92" s="20"/>
      <c r="B92" s="28"/>
      <c r="C92" s="22"/>
      <c r="D92" s="16"/>
      <c r="E92" s="22"/>
      <c r="F92" s="22"/>
      <c r="G92" s="22"/>
      <c r="H92" s="22"/>
      <c r="I92" s="22"/>
      <c r="J92" s="22"/>
      <c r="K92" s="22"/>
      <c r="L92" s="29"/>
      <c r="M92" s="7"/>
      <c r="N92" s="14"/>
      <c r="O92" s="40"/>
      <c r="P92" s="9"/>
      <c r="Q92" s="7"/>
    </row>
    <row r="93" spans="1:17" s="8" customFormat="1" ht="20" hidden="1" customHeight="1" x14ac:dyDescent="0.5">
      <c r="A93" s="20"/>
      <c r="B93" s="28"/>
      <c r="C93" s="22"/>
      <c r="D93" s="16"/>
      <c r="E93" s="22"/>
      <c r="F93" s="22"/>
      <c r="G93" s="22"/>
      <c r="H93" s="22"/>
      <c r="I93" s="22"/>
      <c r="J93" s="22"/>
      <c r="K93" s="22"/>
      <c r="L93" s="29"/>
      <c r="M93" s="7"/>
      <c r="N93" s="14"/>
      <c r="O93" s="40"/>
      <c r="P93" s="9"/>
      <c r="Q93" s="7"/>
    </row>
  </sheetData>
  <dataConsolidate/>
  <mergeCells count="61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O14:P14"/>
    <mergeCell ref="O15:P15"/>
    <mergeCell ref="O16:P16"/>
    <mergeCell ref="O20:P20"/>
    <mergeCell ref="B21:C21"/>
    <mergeCell ref="E21:F21"/>
    <mergeCell ref="H21:I21"/>
    <mergeCell ref="L21:P21"/>
    <mergeCell ref="O17:P17"/>
    <mergeCell ref="O18:P18"/>
    <mergeCell ref="O19:P19"/>
    <mergeCell ref="B22:C22"/>
    <mergeCell ref="E22:F22"/>
    <mergeCell ref="H22:I22"/>
    <mergeCell ref="N22:P22"/>
    <mergeCell ref="B23:C23"/>
    <mergeCell ref="E23:F23"/>
    <mergeCell ref="H23:I23"/>
    <mergeCell ref="N23:P23"/>
    <mergeCell ref="B24:C24"/>
    <mergeCell ref="E24:F24"/>
    <mergeCell ref="L24:P24"/>
    <mergeCell ref="E25:F25"/>
    <mergeCell ref="N25:P25"/>
    <mergeCell ref="B28:B29"/>
    <mergeCell ref="C28:H29"/>
    <mergeCell ref="J28:Q28"/>
    <mergeCell ref="J29:Q29"/>
    <mergeCell ref="E26:F26"/>
    <mergeCell ref="N26:P26"/>
    <mergeCell ref="E27:F27"/>
    <mergeCell ref="N27:P27"/>
    <mergeCell ref="B25:B27"/>
  </mergeCells>
  <phoneticPr fontId="1" type="noConversion"/>
  <conditionalFormatting sqref="N31:O31">
    <cfRule type="cellIs" dxfId="1197" priority="303" operator="equal">
      <formula>"×"</formula>
    </cfRule>
    <cfRule type="cellIs" dxfId="1196" priority="304" operator="equal">
      <formula>"√"</formula>
    </cfRule>
  </conditionalFormatting>
  <conditionalFormatting sqref="L31">
    <cfRule type="cellIs" dxfId="1195" priority="301" operator="equal">
      <formula>"未完成"</formula>
    </cfRule>
    <cfRule type="cellIs" dxfId="1194" priority="302" operator="equal">
      <formula>"已完成"</formula>
    </cfRule>
  </conditionalFormatting>
  <conditionalFormatting sqref="N7:N15 I20 N20:O20">
    <cfRule type="cellIs" dxfId="1193" priority="299" operator="equal">
      <formula>"×"</formula>
    </cfRule>
    <cfRule type="cellIs" dxfId="1192" priority="300" operator="equal">
      <formula>"√"</formula>
    </cfRule>
  </conditionalFormatting>
  <conditionalFormatting sqref="L7:L15 L20">
    <cfRule type="cellIs" dxfId="1191" priority="297" operator="equal">
      <formula>"未完成"</formula>
    </cfRule>
    <cfRule type="cellIs" dxfId="1190" priority="298" operator="equal">
      <formula>"已完成"</formula>
    </cfRule>
  </conditionalFormatting>
  <conditionalFormatting sqref="D22:D23 N22:N23">
    <cfRule type="cellIs" dxfId="1189" priority="295" operator="equal">
      <formula>"×"</formula>
    </cfRule>
    <cfRule type="cellIs" dxfId="1188" priority="296" operator="equal">
      <formula>"√"</formula>
    </cfRule>
  </conditionalFormatting>
  <conditionalFormatting sqref="L22:L23">
    <cfRule type="cellIs" dxfId="1187" priority="293" operator="equal">
      <formula>"未完成"</formula>
    </cfRule>
    <cfRule type="cellIs" dxfId="1186" priority="294" operator="equal">
      <formula>"已完成"</formula>
    </cfRule>
  </conditionalFormatting>
  <conditionalFormatting sqref="L21">
    <cfRule type="cellIs" dxfId="1185" priority="289" operator="equal">
      <formula>"未完成"</formula>
    </cfRule>
    <cfRule type="cellIs" dxfId="1184" priority="290" operator="equal">
      <formula>"已完成"</formula>
    </cfRule>
  </conditionalFormatting>
  <conditionalFormatting sqref="D21">
    <cfRule type="cellIs" dxfId="1183" priority="291" operator="equal">
      <formula>"×"</formula>
    </cfRule>
    <cfRule type="cellIs" dxfId="1182" priority="292" operator="equal">
      <formula>"√"</formula>
    </cfRule>
  </conditionalFormatting>
  <conditionalFormatting sqref="I7:I15">
    <cfRule type="cellIs" dxfId="1181" priority="287" operator="equal">
      <formula>"×"</formula>
    </cfRule>
    <cfRule type="cellIs" dxfId="1180" priority="288" operator="equal">
      <formula>"√"</formula>
    </cfRule>
  </conditionalFormatting>
  <conditionalFormatting sqref="O7:O15">
    <cfRule type="cellIs" dxfId="1179" priority="285" operator="equal">
      <formula>"×"</formula>
    </cfRule>
    <cfRule type="cellIs" dxfId="1178" priority="286" operator="equal">
      <formula>"√"</formula>
    </cfRule>
  </conditionalFormatting>
  <conditionalFormatting sqref="N5:O5">
    <cfRule type="cellIs" dxfId="1177" priority="283" operator="equal">
      <formula>"×"</formula>
    </cfRule>
    <cfRule type="cellIs" dxfId="1176" priority="284" operator="equal">
      <formula>"√"</formula>
    </cfRule>
  </conditionalFormatting>
  <conditionalFormatting sqref="L5">
    <cfRule type="cellIs" dxfId="1175" priority="281" operator="equal">
      <formula>"未完成"</formula>
    </cfRule>
    <cfRule type="cellIs" dxfId="1174" priority="282" operator="equal">
      <formula>"已完成"</formula>
    </cfRule>
  </conditionalFormatting>
  <conditionalFormatting sqref="N6">
    <cfRule type="cellIs" dxfId="1173" priority="279" operator="equal">
      <formula>"×"</formula>
    </cfRule>
    <cfRule type="cellIs" dxfId="1172" priority="280" operator="equal">
      <formula>"√"</formula>
    </cfRule>
  </conditionalFormatting>
  <conditionalFormatting sqref="L6">
    <cfRule type="cellIs" dxfId="1171" priority="277" operator="equal">
      <formula>"未完成"</formula>
    </cfRule>
    <cfRule type="cellIs" dxfId="1170" priority="278" operator="equal">
      <formula>"已完成"</formula>
    </cfRule>
  </conditionalFormatting>
  <conditionalFormatting sqref="I6">
    <cfRule type="cellIs" dxfId="1169" priority="275" operator="equal">
      <formula>"×"</formula>
    </cfRule>
    <cfRule type="cellIs" dxfId="1168" priority="276" operator="equal">
      <formula>"√"</formula>
    </cfRule>
  </conditionalFormatting>
  <conditionalFormatting sqref="O6">
    <cfRule type="cellIs" dxfId="1167" priority="273" operator="equal">
      <formula>"×"</formula>
    </cfRule>
    <cfRule type="cellIs" dxfId="1166" priority="274" operator="equal">
      <formula>"√"</formula>
    </cfRule>
  </conditionalFormatting>
  <conditionalFormatting sqref="N16:N19">
    <cfRule type="cellIs" dxfId="1165" priority="271" operator="equal">
      <formula>"×"</formula>
    </cfRule>
    <cfRule type="cellIs" dxfId="1164" priority="272" operator="equal">
      <formula>"√"</formula>
    </cfRule>
  </conditionalFormatting>
  <conditionalFormatting sqref="L16:L19">
    <cfRule type="cellIs" dxfId="1163" priority="269" operator="equal">
      <formula>"未完成"</formula>
    </cfRule>
    <cfRule type="cellIs" dxfId="1162" priority="270" operator="equal">
      <formula>"已完成"</formula>
    </cfRule>
  </conditionalFormatting>
  <conditionalFormatting sqref="I16:I19">
    <cfRule type="cellIs" dxfId="1161" priority="267" operator="equal">
      <formula>"×"</formula>
    </cfRule>
    <cfRule type="cellIs" dxfId="1160" priority="268" operator="equal">
      <formula>"√"</formula>
    </cfRule>
  </conditionalFormatting>
  <conditionalFormatting sqref="O16:O19">
    <cfRule type="cellIs" dxfId="1159" priority="265" operator="equal">
      <formula>"×"</formula>
    </cfRule>
    <cfRule type="cellIs" dxfId="1158" priority="266" operator="equal">
      <formula>"√"</formula>
    </cfRule>
  </conditionalFormatting>
  <conditionalFormatting sqref="N32:O32">
    <cfRule type="cellIs" dxfId="1157" priority="263" operator="equal">
      <formula>"×"</formula>
    </cfRule>
    <cfRule type="cellIs" dxfId="1156" priority="264" operator="equal">
      <formula>"√"</formula>
    </cfRule>
  </conditionalFormatting>
  <conditionalFormatting sqref="L32">
    <cfRule type="cellIs" dxfId="1155" priority="261" operator="equal">
      <formula>"未完成"</formula>
    </cfRule>
    <cfRule type="cellIs" dxfId="1154" priority="262" operator="equal">
      <formula>"已完成"</formula>
    </cfRule>
  </conditionalFormatting>
  <conditionalFormatting sqref="N33:O33">
    <cfRule type="cellIs" dxfId="1153" priority="259" operator="equal">
      <formula>"×"</formula>
    </cfRule>
    <cfRule type="cellIs" dxfId="1152" priority="260" operator="equal">
      <formula>"√"</formula>
    </cfRule>
  </conditionalFormatting>
  <conditionalFormatting sqref="L33">
    <cfRule type="cellIs" dxfId="1151" priority="257" operator="equal">
      <formula>"未完成"</formula>
    </cfRule>
    <cfRule type="cellIs" dxfId="1150" priority="258" operator="equal">
      <formula>"已完成"</formula>
    </cfRule>
  </conditionalFormatting>
  <conditionalFormatting sqref="N34:O34">
    <cfRule type="cellIs" dxfId="1149" priority="255" operator="equal">
      <formula>"×"</formula>
    </cfRule>
    <cfRule type="cellIs" dxfId="1148" priority="256" operator="equal">
      <formula>"√"</formula>
    </cfRule>
  </conditionalFormatting>
  <conditionalFormatting sqref="L34">
    <cfRule type="cellIs" dxfId="1147" priority="253" operator="equal">
      <formula>"未完成"</formula>
    </cfRule>
    <cfRule type="cellIs" dxfId="1146" priority="254" operator="equal">
      <formula>"已完成"</formula>
    </cfRule>
  </conditionalFormatting>
  <conditionalFormatting sqref="N35:O35">
    <cfRule type="cellIs" dxfId="1145" priority="251" operator="equal">
      <formula>"×"</formula>
    </cfRule>
    <cfRule type="cellIs" dxfId="1144" priority="252" operator="equal">
      <formula>"√"</formula>
    </cfRule>
  </conditionalFormatting>
  <conditionalFormatting sqref="L35">
    <cfRule type="cellIs" dxfId="1143" priority="249" operator="equal">
      <formula>"未完成"</formula>
    </cfRule>
    <cfRule type="cellIs" dxfId="1142" priority="250" operator="equal">
      <formula>"已完成"</formula>
    </cfRule>
  </conditionalFormatting>
  <conditionalFormatting sqref="N36:O36">
    <cfRule type="cellIs" dxfId="1141" priority="247" operator="equal">
      <formula>"×"</formula>
    </cfRule>
    <cfRule type="cellIs" dxfId="1140" priority="248" operator="equal">
      <formula>"√"</formula>
    </cfRule>
  </conditionalFormatting>
  <conditionalFormatting sqref="L36">
    <cfRule type="cellIs" dxfId="1139" priority="245" operator="equal">
      <formula>"未完成"</formula>
    </cfRule>
    <cfRule type="cellIs" dxfId="1138" priority="246" operator="equal">
      <formula>"已完成"</formula>
    </cfRule>
  </conditionalFormatting>
  <conditionalFormatting sqref="N37:O37">
    <cfRule type="cellIs" dxfId="1137" priority="243" operator="equal">
      <formula>"×"</formula>
    </cfRule>
    <cfRule type="cellIs" dxfId="1136" priority="244" operator="equal">
      <formula>"√"</formula>
    </cfRule>
  </conditionalFormatting>
  <conditionalFormatting sqref="L37">
    <cfRule type="cellIs" dxfId="1135" priority="241" operator="equal">
      <formula>"未完成"</formula>
    </cfRule>
    <cfRule type="cellIs" dxfId="1134" priority="242" operator="equal">
      <formula>"已完成"</formula>
    </cfRule>
  </conditionalFormatting>
  <conditionalFormatting sqref="N38:O38">
    <cfRule type="cellIs" dxfId="1133" priority="239" operator="equal">
      <formula>"×"</formula>
    </cfRule>
    <cfRule type="cellIs" dxfId="1132" priority="240" operator="equal">
      <formula>"√"</formula>
    </cfRule>
  </conditionalFormatting>
  <conditionalFormatting sqref="L38">
    <cfRule type="cellIs" dxfId="1131" priority="237" operator="equal">
      <formula>"未完成"</formula>
    </cfRule>
    <cfRule type="cellIs" dxfId="1130" priority="238" operator="equal">
      <formula>"已完成"</formula>
    </cfRule>
  </conditionalFormatting>
  <conditionalFormatting sqref="N39:O39">
    <cfRule type="cellIs" dxfId="1129" priority="235" operator="equal">
      <formula>"×"</formula>
    </cfRule>
    <cfRule type="cellIs" dxfId="1128" priority="236" operator="equal">
      <formula>"√"</formula>
    </cfRule>
  </conditionalFormatting>
  <conditionalFormatting sqref="L39">
    <cfRule type="cellIs" dxfId="1127" priority="233" operator="equal">
      <formula>"未完成"</formula>
    </cfRule>
    <cfRule type="cellIs" dxfId="1126" priority="234" operator="equal">
      <formula>"已完成"</formula>
    </cfRule>
  </conditionalFormatting>
  <conditionalFormatting sqref="N40:O40">
    <cfRule type="cellIs" dxfId="1125" priority="231" operator="equal">
      <formula>"×"</formula>
    </cfRule>
    <cfRule type="cellIs" dxfId="1124" priority="232" operator="equal">
      <formula>"√"</formula>
    </cfRule>
  </conditionalFormatting>
  <conditionalFormatting sqref="L40">
    <cfRule type="cellIs" dxfId="1123" priority="229" operator="equal">
      <formula>"未完成"</formula>
    </cfRule>
    <cfRule type="cellIs" dxfId="1122" priority="230" operator="equal">
      <formula>"已完成"</formula>
    </cfRule>
  </conditionalFormatting>
  <conditionalFormatting sqref="N41:O41">
    <cfRule type="cellIs" dxfId="1121" priority="227" operator="equal">
      <formula>"×"</formula>
    </cfRule>
    <cfRule type="cellIs" dxfId="1120" priority="228" operator="equal">
      <formula>"√"</formula>
    </cfRule>
  </conditionalFormatting>
  <conditionalFormatting sqref="L41">
    <cfRule type="cellIs" dxfId="1119" priority="225" operator="equal">
      <formula>"未完成"</formula>
    </cfRule>
    <cfRule type="cellIs" dxfId="1118" priority="226" operator="equal">
      <formula>"已完成"</formula>
    </cfRule>
  </conditionalFormatting>
  <conditionalFormatting sqref="N42:O42">
    <cfRule type="cellIs" dxfId="1117" priority="223" operator="equal">
      <formula>"×"</formula>
    </cfRule>
    <cfRule type="cellIs" dxfId="1116" priority="224" operator="equal">
      <formula>"√"</formula>
    </cfRule>
  </conditionalFormatting>
  <conditionalFormatting sqref="L42">
    <cfRule type="cellIs" dxfId="1115" priority="221" operator="equal">
      <formula>"未完成"</formula>
    </cfRule>
    <cfRule type="cellIs" dxfId="1114" priority="222" operator="equal">
      <formula>"已完成"</formula>
    </cfRule>
  </conditionalFormatting>
  <conditionalFormatting sqref="N43:O43">
    <cfRule type="cellIs" dxfId="1113" priority="219" operator="equal">
      <formula>"×"</formula>
    </cfRule>
    <cfRule type="cellIs" dxfId="1112" priority="220" operator="equal">
      <formula>"√"</formula>
    </cfRule>
  </conditionalFormatting>
  <conditionalFormatting sqref="L43">
    <cfRule type="cellIs" dxfId="1111" priority="217" operator="equal">
      <formula>"未完成"</formula>
    </cfRule>
    <cfRule type="cellIs" dxfId="1110" priority="218" operator="equal">
      <formula>"已完成"</formula>
    </cfRule>
  </conditionalFormatting>
  <conditionalFormatting sqref="N44:O44">
    <cfRule type="cellIs" dxfId="1109" priority="215" operator="equal">
      <formula>"×"</formula>
    </cfRule>
    <cfRule type="cellIs" dxfId="1108" priority="216" operator="equal">
      <formula>"√"</formula>
    </cfRule>
  </conditionalFormatting>
  <conditionalFormatting sqref="L44">
    <cfRule type="cellIs" dxfId="1107" priority="213" operator="equal">
      <formula>"未完成"</formula>
    </cfRule>
    <cfRule type="cellIs" dxfId="1106" priority="214" operator="equal">
      <formula>"已完成"</formula>
    </cfRule>
  </conditionalFormatting>
  <conditionalFormatting sqref="N45:O45">
    <cfRule type="cellIs" dxfId="1105" priority="211" operator="equal">
      <formula>"×"</formula>
    </cfRule>
    <cfRule type="cellIs" dxfId="1104" priority="212" operator="equal">
      <formula>"√"</formula>
    </cfRule>
  </conditionalFormatting>
  <conditionalFormatting sqref="L45">
    <cfRule type="cellIs" dxfId="1103" priority="209" operator="equal">
      <formula>"未完成"</formula>
    </cfRule>
    <cfRule type="cellIs" dxfId="1102" priority="210" operator="equal">
      <formula>"已完成"</formula>
    </cfRule>
  </conditionalFormatting>
  <conditionalFormatting sqref="N46:O46">
    <cfRule type="cellIs" dxfId="1101" priority="207" operator="equal">
      <formula>"×"</formula>
    </cfRule>
    <cfRule type="cellIs" dxfId="1100" priority="208" operator="equal">
      <formula>"√"</formula>
    </cfRule>
  </conditionalFormatting>
  <conditionalFormatting sqref="L46">
    <cfRule type="cellIs" dxfId="1099" priority="205" operator="equal">
      <formula>"未完成"</formula>
    </cfRule>
    <cfRule type="cellIs" dxfId="1098" priority="206" operator="equal">
      <formula>"已完成"</formula>
    </cfRule>
  </conditionalFormatting>
  <conditionalFormatting sqref="N47:O47">
    <cfRule type="cellIs" dxfId="1097" priority="203" operator="equal">
      <formula>"×"</formula>
    </cfRule>
    <cfRule type="cellIs" dxfId="1096" priority="204" operator="equal">
      <formula>"√"</formula>
    </cfRule>
  </conditionalFormatting>
  <conditionalFormatting sqref="L47">
    <cfRule type="cellIs" dxfId="1095" priority="201" operator="equal">
      <formula>"未完成"</formula>
    </cfRule>
    <cfRule type="cellIs" dxfId="1094" priority="202" operator="equal">
      <formula>"已完成"</formula>
    </cfRule>
  </conditionalFormatting>
  <conditionalFormatting sqref="N48:O48">
    <cfRule type="cellIs" dxfId="1093" priority="199" operator="equal">
      <formula>"×"</formula>
    </cfRule>
    <cfRule type="cellIs" dxfId="1092" priority="200" operator="equal">
      <formula>"√"</formula>
    </cfRule>
  </conditionalFormatting>
  <conditionalFormatting sqref="L48">
    <cfRule type="cellIs" dxfId="1091" priority="197" operator="equal">
      <formula>"未完成"</formula>
    </cfRule>
    <cfRule type="cellIs" dxfId="1090" priority="198" operator="equal">
      <formula>"已完成"</formula>
    </cfRule>
  </conditionalFormatting>
  <conditionalFormatting sqref="N49:O49">
    <cfRule type="cellIs" dxfId="1089" priority="195" operator="equal">
      <formula>"×"</formula>
    </cfRule>
    <cfRule type="cellIs" dxfId="1088" priority="196" operator="equal">
      <formula>"√"</formula>
    </cfRule>
  </conditionalFormatting>
  <conditionalFormatting sqref="L49">
    <cfRule type="cellIs" dxfId="1087" priority="193" operator="equal">
      <formula>"未完成"</formula>
    </cfRule>
    <cfRule type="cellIs" dxfId="1086" priority="194" operator="equal">
      <formula>"已完成"</formula>
    </cfRule>
  </conditionalFormatting>
  <conditionalFormatting sqref="N50:O50">
    <cfRule type="cellIs" dxfId="1085" priority="191" operator="equal">
      <formula>"×"</formula>
    </cfRule>
    <cfRule type="cellIs" dxfId="1084" priority="192" operator="equal">
      <formula>"√"</formula>
    </cfRule>
  </conditionalFormatting>
  <conditionalFormatting sqref="L50">
    <cfRule type="cellIs" dxfId="1083" priority="189" operator="equal">
      <formula>"未完成"</formula>
    </cfRule>
    <cfRule type="cellIs" dxfId="1082" priority="190" operator="equal">
      <formula>"已完成"</formula>
    </cfRule>
  </conditionalFormatting>
  <conditionalFormatting sqref="N51:O51">
    <cfRule type="cellIs" dxfId="1081" priority="187" operator="equal">
      <formula>"×"</formula>
    </cfRule>
    <cfRule type="cellIs" dxfId="1080" priority="188" operator="equal">
      <formula>"√"</formula>
    </cfRule>
  </conditionalFormatting>
  <conditionalFormatting sqref="L51">
    <cfRule type="cellIs" dxfId="1079" priority="185" operator="equal">
      <formula>"未完成"</formula>
    </cfRule>
    <cfRule type="cellIs" dxfId="1078" priority="186" operator="equal">
      <formula>"已完成"</formula>
    </cfRule>
  </conditionalFormatting>
  <conditionalFormatting sqref="N52:O52">
    <cfRule type="cellIs" dxfId="1077" priority="183" operator="equal">
      <formula>"×"</formula>
    </cfRule>
    <cfRule type="cellIs" dxfId="1076" priority="184" operator="equal">
      <formula>"√"</formula>
    </cfRule>
  </conditionalFormatting>
  <conditionalFormatting sqref="L52">
    <cfRule type="cellIs" dxfId="1075" priority="181" operator="equal">
      <formula>"未完成"</formula>
    </cfRule>
    <cfRule type="cellIs" dxfId="1074" priority="182" operator="equal">
      <formula>"已完成"</formula>
    </cfRule>
  </conditionalFormatting>
  <conditionalFormatting sqref="N53:O53">
    <cfRule type="cellIs" dxfId="1073" priority="179" operator="equal">
      <formula>"×"</formula>
    </cfRule>
    <cfRule type="cellIs" dxfId="1072" priority="180" operator="equal">
      <formula>"√"</formula>
    </cfRule>
  </conditionalFormatting>
  <conditionalFormatting sqref="L53">
    <cfRule type="cellIs" dxfId="1071" priority="177" operator="equal">
      <formula>"未完成"</formula>
    </cfRule>
    <cfRule type="cellIs" dxfId="1070" priority="178" operator="equal">
      <formula>"已完成"</formula>
    </cfRule>
  </conditionalFormatting>
  <conditionalFormatting sqref="N54:O54">
    <cfRule type="cellIs" dxfId="1069" priority="175" operator="equal">
      <formula>"×"</formula>
    </cfRule>
    <cfRule type="cellIs" dxfId="1068" priority="176" operator="equal">
      <formula>"√"</formula>
    </cfRule>
  </conditionalFormatting>
  <conditionalFormatting sqref="L54">
    <cfRule type="cellIs" dxfId="1067" priority="173" operator="equal">
      <formula>"未完成"</formula>
    </cfRule>
    <cfRule type="cellIs" dxfId="1066" priority="174" operator="equal">
      <formula>"已完成"</formula>
    </cfRule>
  </conditionalFormatting>
  <conditionalFormatting sqref="N55:O55">
    <cfRule type="cellIs" dxfId="1065" priority="171" operator="equal">
      <formula>"×"</formula>
    </cfRule>
    <cfRule type="cellIs" dxfId="1064" priority="172" operator="equal">
      <formula>"√"</formula>
    </cfRule>
  </conditionalFormatting>
  <conditionalFormatting sqref="L55">
    <cfRule type="cellIs" dxfId="1063" priority="169" operator="equal">
      <formula>"未完成"</formula>
    </cfRule>
    <cfRule type="cellIs" dxfId="1062" priority="170" operator="equal">
      <formula>"已完成"</formula>
    </cfRule>
  </conditionalFormatting>
  <conditionalFormatting sqref="N56:O56">
    <cfRule type="cellIs" dxfId="1061" priority="167" operator="equal">
      <formula>"×"</formula>
    </cfRule>
    <cfRule type="cellIs" dxfId="1060" priority="168" operator="equal">
      <formula>"√"</formula>
    </cfRule>
  </conditionalFormatting>
  <conditionalFormatting sqref="L56">
    <cfRule type="cellIs" dxfId="1059" priority="165" operator="equal">
      <formula>"未完成"</formula>
    </cfRule>
    <cfRule type="cellIs" dxfId="1058" priority="166" operator="equal">
      <formula>"已完成"</formula>
    </cfRule>
  </conditionalFormatting>
  <conditionalFormatting sqref="N57:O57">
    <cfRule type="cellIs" dxfId="1057" priority="163" operator="equal">
      <formula>"×"</formula>
    </cfRule>
    <cfRule type="cellIs" dxfId="1056" priority="164" operator="equal">
      <formula>"√"</formula>
    </cfRule>
  </conditionalFormatting>
  <conditionalFormatting sqref="L57">
    <cfRule type="cellIs" dxfId="1055" priority="161" operator="equal">
      <formula>"未完成"</formula>
    </cfRule>
    <cfRule type="cellIs" dxfId="1054" priority="162" operator="equal">
      <formula>"已完成"</formula>
    </cfRule>
  </conditionalFormatting>
  <conditionalFormatting sqref="N58:O58">
    <cfRule type="cellIs" dxfId="1053" priority="159" operator="equal">
      <formula>"×"</formula>
    </cfRule>
    <cfRule type="cellIs" dxfId="1052" priority="160" operator="equal">
      <formula>"√"</formula>
    </cfRule>
  </conditionalFormatting>
  <conditionalFormatting sqref="L58">
    <cfRule type="cellIs" dxfId="1051" priority="157" operator="equal">
      <formula>"未完成"</formula>
    </cfRule>
    <cfRule type="cellIs" dxfId="1050" priority="158" operator="equal">
      <formula>"已完成"</formula>
    </cfRule>
  </conditionalFormatting>
  <conditionalFormatting sqref="N59:O59">
    <cfRule type="cellIs" dxfId="1049" priority="155" operator="equal">
      <formula>"×"</formula>
    </cfRule>
    <cfRule type="cellIs" dxfId="1048" priority="156" operator="equal">
      <formula>"√"</formula>
    </cfRule>
  </conditionalFormatting>
  <conditionalFormatting sqref="L59">
    <cfRule type="cellIs" dxfId="1047" priority="153" operator="equal">
      <formula>"未完成"</formula>
    </cfRule>
    <cfRule type="cellIs" dxfId="1046" priority="154" operator="equal">
      <formula>"已完成"</formula>
    </cfRule>
  </conditionalFormatting>
  <conditionalFormatting sqref="N60:O60">
    <cfRule type="cellIs" dxfId="1045" priority="151" operator="equal">
      <formula>"×"</formula>
    </cfRule>
    <cfRule type="cellIs" dxfId="1044" priority="152" operator="equal">
      <formula>"√"</formula>
    </cfRule>
  </conditionalFormatting>
  <conditionalFormatting sqref="L60">
    <cfRule type="cellIs" dxfId="1043" priority="149" operator="equal">
      <formula>"未完成"</formula>
    </cfRule>
    <cfRule type="cellIs" dxfId="1042" priority="150" operator="equal">
      <formula>"已完成"</formula>
    </cfRule>
  </conditionalFormatting>
  <conditionalFormatting sqref="N61:O61">
    <cfRule type="cellIs" dxfId="1041" priority="147" operator="equal">
      <formula>"×"</formula>
    </cfRule>
    <cfRule type="cellIs" dxfId="1040" priority="148" operator="equal">
      <formula>"√"</formula>
    </cfRule>
  </conditionalFormatting>
  <conditionalFormatting sqref="L61">
    <cfRule type="cellIs" dxfId="1039" priority="145" operator="equal">
      <formula>"未完成"</formula>
    </cfRule>
    <cfRule type="cellIs" dxfId="1038" priority="146" operator="equal">
      <formula>"已完成"</formula>
    </cfRule>
  </conditionalFormatting>
  <conditionalFormatting sqref="N62:O62">
    <cfRule type="cellIs" dxfId="1037" priority="143" operator="equal">
      <formula>"×"</formula>
    </cfRule>
    <cfRule type="cellIs" dxfId="1036" priority="144" operator="equal">
      <formula>"√"</formula>
    </cfRule>
  </conditionalFormatting>
  <conditionalFormatting sqref="L62">
    <cfRule type="cellIs" dxfId="1035" priority="141" operator="equal">
      <formula>"未完成"</formula>
    </cfRule>
    <cfRule type="cellIs" dxfId="1034" priority="142" operator="equal">
      <formula>"已完成"</formula>
    </cfRule>
  </conditionalFormatting>
  <conditionalFormatting sqref="N63:O63">
    <cfRule type="cellIs" dxfId="1033" priority="139" operator="equal">
      <formula>"×"</formula>
    </cfRule>
    <cfRule type="cellIs" dxfId="1032" priority="140" operator="equal">
      <formula>"√"</formula>
    </cfRule>
  </conditionalFormatting>
  <conditionalFormatting sqref="L63">
    <cfRule type="cellIs" dxfId="1031" priority="137" operator="equal">
      <formula>"未完成"</formula>
    </cfRule>
    <cfRule type="cellIs" dxfId="1030" priority="138" operator="equal">
      <formula>"已完成"</formula>
    </cfRule>
  </conditionalFormatting>
  <conditionalFormatting sqref="N64:O64">
    <cfRule type="cellIs" dxfId="1029" priority="135" operator="equal">
      <formula>"×"</formula>
    </cfRule>
    <cfRule type="cellIs" dxfId="1028" priority="136" operator="equal">
      <formula>"√"</formula>
    </cfRule>
  </conditionalFormatting>
  <conditionalFormatting sqref="L64">
    <cfRule type="cellIs" dxfId="1027" priority="133" operator="equal">
      <formula>"未完成"</formula>
    </cfRule>
    <cfRule type="cellIs" dxfId="1026" priority="134" operator="equal">
      <formula>"已完成"</formula>
    </cfRule>
  </conditionalFormatting>
  <conditionalFormatting sqref="N65:O65">
    <cfRule type="cellIs" dxfId="1025" priority="131" operator="equal">
      <formula>"×"</formula>
    </cfRule>
    <cfRule type="cellIs" dxfId="1024" priority="132" operator="equal">
      <formula>"√"</formula>
    </cfRule>
  </conditionalFormatting>
  <conditionalFormatting sqref="L65">
    <cfRule type="cellIs" dxfId="1023" priority="129" operator="equal">
      <formula>"未完成"</formula>
    </cfRule>
    <cfRule type="cellIs" dxfId="1022" priority="130" operator="equal">
      <formula>"已完成"</formula>
    </cfRule>
  </conditionalFormatting>
  <conditionalFormatting sqref="N66:O66">
    <cfRule type="cellIs" dxfId="1021" priority="127" operator="equal">
      <formula>"×"</formula>
    </cfRule>
    <cfRule type="cellIs" dxfId="1020" priority="128" operator="equal">
      <formula>"√"</formula>
    </cfRule>
  </conditionalFormatting>
  <conditionalFormatting sqref="L66">
    <cfRule type="cellIs" dxfId="1019" priority="125" operator="equal">
      <formula>"未完成"</formula>
    </cfRule>
    <cfRule type="cellIs" dxfId="1018" priority="126" operator="equal">
      <formula>"已完成"</formula>
    </cfRule>
  </conditionalFormatting>
  <conditionalFormatting sqref="N67:O67">
    <cfRule type="cellIs" dxfId="1017" priority="123" operator="equal">
      <formula>"×"</formula>
    </cfRule>
    <cfRule type="cellIs" dxfId="1016" priority="124" operator="equal">
      <formula>"√"</formula>
    </cfRule>
  </conditionalFormatting>
  <conditionalFormatting sqref="L67">
    <cfRule type="cellIs" dxfId="1015" priority="121" operator="equal">
      <formula>"未完成"</formula>
    </cfRule>
    <cfRule type="cellIs" dxfId="1014" priority="122" operator="equal">
      <formula>"已完成"</formula>
    </cfRule>
  </conditionalFormatting>
  <conditionalFormatting sqref="N68:O68">
    <cfRule type="cellIs" dxfId="1013" priority="119" operator="equal">
      <formula>"×"</formula>
    </cfRule>
    <cfRule type="cellIs" dxfId="1012" priority="120" operator="equal">
      <formula>"√"</formula>
    </cfRule>
  </conditionalFormatting>
  <conditionalFormatting sqref="L68">
    <cfRule type="cellIs" dxfId="1011" priority="117" operator="equal">
      <formula>"未完成"</formula>
    </cfRule>
    <cfRule type="cellIs" dxfId="1010" priority="118" operator="equal">
      <formula>"已完成"</formula>
    </cfRule>
  </conditionalFormatting>
  <conditionalFormatting sqref="N69:O69">
    <cfRule type="cellIs" dxfId="1009" priority="115" operator="equal">
      <formula>"×"</formula>
    </cfRule>
    <cfRule type="cellIs" dxfId="1008" priority="116" operator="equal">
      <formula>"√"</formula>
    </cfRule>
  </conditionalFormatting>
  <conditionalFormatting sqref="L69">
    <cfRule type="cellIs" dxfId="1007" priority="113" operator="equal">
      <formula>"未完成"</formula>
    </cfRule>
    <cfRule type="cellIs" dxfId="1006" priority="114" operator="equal">
      <formula>"已完成"</formula>
    </cfRule>
  </conditionalFormatting>
  <conditionalFormatting sqref="N70:O70">
    <cfRule type="cellIs" dxfId="1005" priority="111" operator="equal">
      <formula>"×"</formula>
    </cfRule>
    <cfRule type="cellIs" dxfId="1004" priority="112" operator="equal">
      <formula>"√"</formula>
    </cfRule>
  </conditionalFormatting>
  <conditionalFormatting sqref="L70">
    <cfRule type="cellIs" dxfId="1003" priority="109" operator="equal">
      <formula>"未完成"</formula>
    </cfRule>
    <cfRule type="cellIs" dxfId="1002" priority="110" operator="equal">
      <formula>"已完成"</formula>
    </cfRule>
  </conditionalFormatting>
  <conditionalFormatting sqref="N71:O71">
    <cfRule type="cellIs" dxfId="1001" priority="107" operator="equal">
      <formula>"×"</formula>
    </cfRule>
    <cfRule type="cellIs" dxfId="1000" priority="108" operator="equal">
      <formula>"√"</formula>
    </cfRule>
  </conditionalFormatting>
  <conditionalFormatting sqref="L71">
    <cfRule type="cellIs" dxfId="999" priority="105" operator="equal">
      <formula>"未完成"</formula>
    </cfRule>
    <cfRule type="cellIs" dxfId="998" priority="106" operator="equal">
      <formula>"已完成"</formula>
    </cfRule>
  </conditionalFormatting>
  <conditionalFormatting sqref="N72:O72">
    <cfRule type="cellIs" dxfId="997" priority="103" operator="equal">
      <formula>"×"</formula>
    </cfRule>
    <cfRule type="cellIs" dxfId="996" priority="104" operator="equal">
      <formula>"√"</formula>
    </cfRule>
  </conditionalFormatting>
  <conditionalFormatting sqref="L72">
    <cfRule type="cellIs" dxfId="995" priority="101" operator="equal">
      <formula>"未完成"</formula>
    </cfRule>
    <cfRule type="cellIs" dxfId="994" priority="102" operator="equal">
      <formula>"已完成"</formula>
    </cfRule>
  </conditionalFormatting>
  <conditionalFormatting sqref="N73:O73">
    <cfRule type="cellIs" dxfId="993" priority="99" operator="equal">
      <formula>"×"</formula>
    </cfRule>
    <cfRule type="cellIs" dxfId="992" priority="100" operator="equal">
      <formula>"√"</formula>
    </cfRule>
  </conditionalFormatting>
  <conditionalFormatting sqref="L73">
    <cfRule type="cellIs" dxfId="991" priority="97" operator="equal">
      <formula>"未完成"</formula>
    </cfRule>
    <cfRule type="cellIs" dxfId="990" priority="98" operator="equal">
      <formula>"已完成"</formula>
    </cfRule>
  </conditionalFormatting>
  <conditionalFormatting sqref="N74:O74">
    <cfRule type="cellIs" dxfId="989" priority="95" operator="equal">
      <formula>"×"</formula>
    </cfRule>
    <cfRule type="cellIs" dxfId="988" priority="96" operator="equal">
      <formula>"√"</formula>
    </cfRule>
  </conditionalFormatting>
  <conditionalFormatting sqref="L74">
    <cfRule type="cellIs" dxfId="987" priority="93" operator="equal">
      <formula>"未完成"</formula>
    </cfRule>
    <cfRule type="cellIs" dxfId="986" priority="94" operator="equal">
      <formula>"已完成"</formula>
    </cfRule>
  </conditionalFormatting>
  <conditionalFormatting sqref="N75:O75">
    <cfRule type="cellIs" dxfId="985" priority="91" operator="equal">
      <formula>"×"</formula>
    </cfRule>
    <cfRule type="cellIs" dxfId="984" priority="92" operator="equal">
      <formula>"√"</formula>
    </cfRule>
  </conditionalFormatting>
  <conditionalFormatting sqref="L75">
    <cfRule type="cellIs" dxfId="983" priority="89" operator="equal">
      <formula>"未完成"</formula>
    </cfRule>
    <cfRule type="cellIs" dxfId="982" priority="90" operator="equal">
      <formula>"已完成"</formula>
    </cfRule>
  </conditionalFormatting>
  <conditionalFormatting sqref="N76:O76">
    <cfRule type="cellIs" dxfId="981" priority="87" operator="equal">
      <formula>"×"</formula>
    </cfRule>
    <cfRule type="cellIs" dxfId="980" priority="88" operator="equal">
      <formula>"√"</formula>
    </cfRule>
  </conditionalFormatting>
  <conditionalFormatting sqref="L76">
    <cfRule type="cellIs" dxfId="979" priority="85" operator="equal">
      <formula>"未完成"</formula>
    </cfRule>
    <cfRule type="cellIs" dxfId="978" priority="86" operator="equal">
      <formula>"已完成"</formula>
    </cfRule>
  </conditionalFormatting>
  <conditionalFormatting sqref="N77:O77">
    <cfRule type="cellIs" dxfId="977" priority="83" operator="equal">
      <formula>"×"</formula>
    </cfRule>
    <cfRule type="cellIs" dxfId="976" priority="84" operator="equal">
      <formula>"√"</formula>
    </cfRule>
  </conditionalFormatting>
  <conditionalFormatting sqref="L77">
    <cfRule type="cellIs" dxfId="975" priority="81" operator="equal">
      <formula>"未完成"</formula>
    </cfRule>
    <cfRule type="cellIs" dxfId="974" priority="82" operator="equal">
      <formula>"已完成"</formula>
    </cfRule>
  </conditionalFormatting>
  <conditionalFormatting sqref="N78:O78">
    <cfRule type="cellIs" dxfId="973" priority="79" operator="equal">
      <formula>"×"</formula>
    </cfRule>
    <cfRule type="cellIs" dxfId="972" priority="80" operator="equal">
      <formula>"√"</formula>
    </cfRule>
  </conditionalFormatting>
  <conditionalFormatting sqref="L78">
    <cfRule type="cellIs" dxfId="971" priority="77" operator="equal">
      <formula>"未完成"</formula>
    </cfRule>
    <cfRule type="cellIs" dxfId="970" priority="78" operator="equal">
      <formula>"已完成"</formula>
    </cfRule>
  </conditionalFormatting>
  <conditionalFormatting sqref="N79:O79">
    <cfRule type="cellIs" dxfId="969" priority="75" operator="equal">
      <formula>"×"</formula>
    </cfRule>
    <cfRule type="cellIs" dxfId="968" priority="76" operator="equal">
      <formula>"√"</formula>
    </cfRule>
  </conditionalFormatting>
  <conditionalFormatting sqref="L79">
    <cfRule type="cellIs" dxfId="967" priority="73" operator="equal">
      <formula>"未完成"</formula>
    </cfRule>
    <cfRule type="cellIs" dxfId="966" priority="74" operator="equal">
      <formula>"已完成"</formula>
    </cfRule>
  </conditionalFormatting>
  <conditionalFormatting sqref="N80:O80">
    <cfRule type="cellIs" dxfId="965" priority="71" operator="equal">
      <formula>"×"</formula>
    </cfRule>
    <cfRule type="cellIs" dxfId="964" priority="72" operator="equal">
      <formula>"√"</formula>
    </cfRule>
  </conditionalFormatting>
  <conditionalFormatting sqref="L80">
    <cfRule type="cellIs" dxfId="963" priority="69" operator="equal">
      <formula>"未完成"</formula>
    </cfRule>
    <cfRule type="cellIs" dxfId="962" priority="70" operator="equal">
      <formula>"已完成"</formula>
    </cfRule>
  </conditionalFormatting>
  <conditionalFormatting sqref="N81:O81">
    <cfRule type="cellIs" dxfId="961" priority="67" operator="equal">
      <formula>"×"</formula>
    </cfRule>
    <cfRule type="cellIs" dxfId="960" priority="68" operator="equal">
      <formula>"√"</formula>
    </cfRule>
  </conditionalFormatting>
  <conditionalFormatting sqref="L81">
    <cfRule type="cellIs" dxfId="959" priority="65" operator="equal">
      <formula>"未完成"</formula>
    </cfRule>
    <cfRule type="cellIs" dxfId="958" priority="66" operator="equal">
      <formula>"已完成"</formula>
    </cfRule>
  </conditionalFormatting>
  <conditionalFormatting sqref="N82:O82">
    <cfRule type="cellIs" dxfId="957" priority="63" operator="equal">
      <formula>"×"</formula>
    </cfRule>
    <cfRule type="cellIs" dxfId="956" priority="64" operator="equal">
      <formula>"√"</formula>
    </cfRule>
  </conditionalFormatting>
  <conditionalFormatting sqref="L82">
    <cfRule type="cellIs" dxfId="955" priority="61" operator="equal">
      <formula>"未完成"</formula>
    </cfRule>
    <cfRule type="cellIs" dxfId="954" priority="62" operator="equal">
      <formula>"已完成"</formula>
    </cfRule>
  </conditionalFormatting>
  <conditionalFormatting sqref="N83:O83">
    <cfRule type="cellIs" dxfId="953" priority="59" operator="equal">
      <formula>"×"</formula>
    </cfRule>
    <cfRule type="cellIs" dxfId="952" priority="60" operator="equal">
      <formula>"√"</formula>
    </cfRule>
  </conditionalFormatting>
  <conditionalFormatting sqref="L83">
    <cfRule type="cellIs" dxfId="951" priority="57" operator="equal">
      <formula>"未完成"</formula>
    </cfRule>
    <cfRule type="cellIs" dxfId="950" priority="58" operator="equal">
      <formula>"已完成"</formula>
    </cfRule>
  </conditionalFormatting>
  <conditionalFormatting sqref="N84:O84">
    <cfRule type="cellIs" dxfId="949" priority="55" operator="equal">
      <formula>"×"</formula>
    </cfRule>
    <cfRule type="cellIs" dxfId="948" priority="56" operator="equal">
      <formula>"√"</formula>
    </cfRule>
  </conditionalFormatting>
  <conditionalFormatting sqref="L84">
    <cfRule type="cellIs" dxfId="947" priority="53" operator="equal">
      <formula>"未完成"</formula>
    </cfRule>
    <cfRule type="cellIs" dxfId="946" priority="54" operator="equal">
      <formula>"已完成"</formula>
    </cfRule>
  </conditionalFormatting>
  <conditionalFormatting sqref="N85:O85">
    <cfRule type="cellIs" dxfId="945" priority="51" operator="equal">
      <formula>"×"</formula>
    </cfRule>
    <cfRule type="cellIs" dxfId="944" priority="52" operator="equal">
      <formula>"√"</formula>
    </cfRule>
  </conditionalFormatting>
  <conditionalFormatting sqref="L85">
    <cfRule type="cellIs" dxfId="943" priority="49" operator="equal">
      <formula>"未完成"</formula>
    </cfRule>
    <cfRule type="cellIs" dxfId="942" priority="50" operator="equal">
      <formula>"已完成"</formula>
    </cfRule>
  </conditionalFormatting>
  <conditionalFormatting sqref="N86:O86">
    <cfRule type="cellIs" dxfId="941" priority="47" operator="equal">
      <formula>"×"</formula>
    </cfRule>
    <cfRule type="cellIs" dxfId="940" priority="48" operator="equal">
      <formula>"√"</formula>
    </cfRule>
  </conditionalFormatting>
  <conditionalFormatting sqref="L86">
    <cfRule type="cellIs" dxfId="939" priority="45" operator="equal">
      <formula>"未完成"</formula>
    </cfRule>
    <cfRule type="cellIs" dxfId="938" priority="46" operator="equal">
      <formula>"已完成"</formula>
    </cfRule>
  </conditionalFormatting>
  <conditionalFormatting sqref="N87:O87">
    <cfRule type="cellIs" dxfId="937" priority="43" operator="equal">
      <formula>"×"</formula>
    </cfRule>
    <cfRule type="cellIs" dxfId="936" priority="44" operator="equal">
      <formula>"√"</formula>
    </cfRule>
  </conditionalFormatting>
  <conditionalFormatting sqref="L87">
    <cfRule type="cellIs" dxfId="935" priority="41" operator="equal">
      <formula>"未完成"</formula>
    </cfRule>
    <cfRule type="cellIs" dxfId="934" priority="42" operator="equal">
      <formula>"已完成"</formula>
    </cfRule>
  </conditionalFormatting>
  <conditionalFormatting sqref="N88:O88">
    <cfRule type="cellIs" dxfId="933" priority="39" operator="equal">
      <formula>"×"</formula>
    </cfRule>
    <cfRule type="cellIs" dxfId="932" priority="40" operator="equal">
      <formula>"√"</formula>
    </cfRule>
  </conditionalFormatting>
  <conditionalFormatting sqref="L88">
    <cfRule type="cellIs" dxfId="931" priority="37" operator="equal">
      <formula>"未完成"</formula>
    </cfRule>
    <cfRule type="cellIs" dxfId="930" priority="38" operator="equal">
      <formula>"已完成"</formula>
    </cfRule>
  </conditionalFormatting>
  <conditionalFormatting sqref="N89:O89">
    <cfRule type="cellIs" dxfId="929" priority="35" operator="equal">
      <formula>"×"</formula>
    </cfRule>
    <cfRule type="cellIs" dxfId="928" priority="36" operator="equal">
      <formula>"√"</formula>
    </cfRule>
  </conditionalFormatting>
  <conditionalFormatting sqref="L89">
    <cfRule type="cellIs" dxfId="927" priority="33" operator="equal">
      <formula>"未完成"</formula>
    </cfRule>
    <cfRule type="cellIs" dxfId="926" priority="34" operator="equal">
      <formula>"已完成"</formula>
    </cfRule>
  </conditionalFormatting>
  <conditionalFormatting sqref="N90:O90">
    <cfRule type="cellIs" dxfId="925" priority="31" operator="equal">
      <formula>"×"</formula>
    </cfRule>
    <cfRule type="cellIs" dxfId="924" priority="32" operator="equal">
      <formula>"√"</formula>
    </cfRule>
  </conditionalFormatting>
  <conditionalFormatting sqref="L90">
    <cfRule type="cellIs" dxfId="923" priority="29" operator="equal">
      <formula>"未完成"</formula>
    </cfRule>
    <cfRule type="cellIs" dxfId="922" priority="30" operator="equal">
      <formula>"已完成"</formula>
    </cfRule>
  </conditionalFormatting>
  <conditionalFormatting sqref="N91:O91">
    <cfRule type="cellIs" dxfId="921" priority="27" operator="equal">
      <formula>"×"</formula>
    </cfRule>
    <cfRule type="cellIs" dxfId="920" priority="28" operator="equal">
      <formula>"√"</formula>
    </cfRule>
  </conditionalFormatting>
  <conditionalFormatting sqref="L91">
    <cfRule type="cellIs" dxfId="919" priority="25" operator="equal">
      <formula>"未完成"</formula>
    </cfRule>
    <cfRule type="cellIs" dxfId="918" priority="26" operator="equal">
      <formula>"已完成"</formula>
    </cfRule>
  </conditionalFormatting>
  <conditionalFormatting sqref="N92:O92">
    <cfRule type="cellIs" dxfId="917" priority="23" operator="equal">
      <formula>"×"</formula>
    </cfRule>
    <cfRule type="cellIs" dxfId="916" priority="24" operator="equal">
      <formula>"√"</formula>
    </cfRule>
  </conditionalFormatting>
  <conditionalFormatting sqref="L92">
    <cfRule type="cellIs" dxfId="915" priority="21" operator="equal">
      <formula>"未完成"</formula>
    </cfRule>
    <cfRule type="cellIs" dxfId="914" priority="22" operator="equal">
      <formula>"已完成"</formula>
    </cfRule>
  </conditionalFormatting>
  <conditionalFormatting sqref="N93:O93">
    <cfRule type="cellIs" dxfId="913" priority="19" operator="equal">
      <formula>"×"</formula>
    </cfRule>
    <cfRule type="cellIs" dxfId="912" priority="20" operator="equal">
      <formula>"√"</formula>
    </cfRule>
  </conditionalFormatting>
  <conditionalFormatting sqref="L93">
    <cfRule type="cellIs" dxfId="911" priority="17" operator="equal">
      <formula>"未完成"</formula>
    </cfRule>
    <cfRule type="cellIs" dxfId="910" priority="18" operator="equal">
      <formula>"已完成"</formula>
    </cfRule>
  </conditionalFormatting>
  <conditionalFormatting sqref="N30:O30">
    <cfRule type="cellIs" dxfId="909" priority="15" operator="equal">
      <formula>"×"</formula>
    </cfRule>
    <cfRule type="cellIs" dxfId="908" priority="16" operator="equal">
      <formula>"√"</formula>
    </cfRule>
  </conditionalFormatting>
  <conditionalFormatting sqref="L30">
    <cfRule type="cellIs" dxfId="907" priority="13" operator="equal">
      <formula>"未完成"</formula>
    </cfRule>
    <cfRule type="cellIs" dxfId="906" priority="14" operator="equal">
      <formula>"已完成"</formula>
    </cfRule>
  </conditionalFormatting>
  <conditionalFormatting sqref="L24">
    <cfRule type="cellIs" dxfId="905" priority="9" operator="equal">
      <formula>"未完成"</formula>
    </cfRule>
    <cfRule type="cellIs" dxfId="904" priority="10" operator="equal">
      <formula>"已完成"</formula>
    </cfRule>
  </conditionalFormatting>
  <conditionalFormatting sqref="D24">
    <cfRule type="cellIs" dxfId="903" priority="11" operator="equal">
      <formula>"×"</formula>
    </cfRule>
    <cfRule type="cellIs" dxfId="902" priority="12" operator="equal">
      <formula>"√"</formula>
    </cfRule>
  </conditionalFormatting>
  <conditionalFormatting sqref="D25:D26 N25:N26">
    <cfRule type="cellIs" dxfId="901" priority="7" operator="equal">
      <formula>"×"</formula>
    </cfRule>
    <cfRule type="cellIs" dxfId="900" priority="8" operator="equal">
      <formula>"√"</formula>
    </cfRule>
  </conditionalFormatting>
  <conditionalFormatting sqref="L25:L26">
    <cfRule type="cellIs" dxfId="899" priority="5" operator="equal">
      <formula>"未完成"</formula>
    </cfRule>
    <cfRule type="cellIs" dxfId="898" priority="6" operator="equal">
      <formula>"已完成"</formula>
    </cfRule>
  </conditionalFormatting>
  <conditionalFormatting sqref="D27 N27">
    <cfRule type="cellIs" dxfId="897" priority="3" operator="equal">
      <formula>"×"</formula>
    </cfRule>
    <cfRule type="cellIs" dxfId="896" priority="4" operator="equal">
      <formula>"√"</formula>
    </cfRule>
  </conditionalFormatting>
  <conditionalFormatting sqref="L27">
    <cfRule type="cellIs" dxfId="895" priority="1" operator="equal">
      <formula>"未完成"</formula>
    </cfRule>
    <cfRule type="cellIs" dxfId="894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配置!$E$3:$E$5</xm:f>
          </x14:formula1>
          <xm:sqref>L6:L20</xm:sqref>
        </x14:dataValidation>
        <x14:dataValidation type="list" allowBlank="1" showInputMessage="1" showErrorMessage="1">
          <x14:formula1>
            <xm:f>配置!$E$4:$E$6</xm:f>
          </x14:formula1>
          <xm:sqref>L22:L23 L25:L27</xm:sqref>
        </x14:dataValidation>
        <x14:dataValidation type="list" allowBlank="1" showInputMessage="1" showErrorMessage="1">
          <x14:formula1>
            <xm:f>配置!$G$3:$G$7</xm:f>
          </x14:formula1>
          <xm:sqref>G22:G23 G25:G27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C25:C27</xm:sqref>
        </x14:dataValidation>
        <x14:dataValidation type="list" allowBlank="1" showInputMessage="1" showErrorMessage="1">
          <x14:formula1>
            <xm:f>配置!$I$4:$I$8</xm:f>
          </x14:formula1>
          <xm:sqref>E25:F27</xm:sqref>
        </x14:dataValidation>
        <x14:dataValidation type="list" allowBlank="1" showInputMessage="1" showErrorMessage="1">
          <x14:formula1>
            <xm:f>配置!$M$3:$M$5</xm:f>
          </x14:formula1>
          <xm:sqref>I25:I27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tabSelected="1" topLeftCell="A52" workbookViewId="0">
      <selection activeCell="K27" sqref="K27"/>
    </sheetView>
  </sheetViews>
  <sheetFormatPr defaultRowHeight="13.9" x14ac:dyDescent="0.4"/>
  <sheetData/>
  <sheetProtection sheet="1" objects="1" scenarios="1"/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93"/>
  <sheetViews>
    <sheetView showGridLines="0" workbookViewId="0">
      <pane xSplit="1" ySplit="4" topLeftCell="B11" activePane="bottomRight" state="frozen"/>
      <selection pane="topRight" activeCell="G1" sqref="G1"/>
      <selection pane="bottomLeft" activeCell="A6" sqref="A6"/>
      <selection pane="bottomRight" activeCell="D11" sqref="D11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195" t="str">
        <f ca="1">TEXT(SheetName,"yyyyy-mm-dd   aaaa")&amp;"     播 出 科 值 班 日 志"</f>
        <v>空白表     播 出 科 值 班 日 志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7"/>
    </row>
    <row r="2" spans="1:18" ht="24" customHeight="1" x14ac:dyDescent="0.5">
      <c r="A2" s="77"/>
      <c r="B2" s="198" t="s">
        <v>56</v>
      </c>
      <c r="C2" s="199"/>
      <c r="D2" s="78" t="s">
        <v>103</v>
      </c>
      <c r="E2" s="198" t="s">
        <v>44</v>
      </c>
      <c r="F2" s="199"/>
      <c r="G2" s="200"/>
      <c r="H2" s="201"/>
      <c r="I2" s="202"/>
      <c r="J2" s="203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204" t="s">
        <v>9</v>
      </c>
      <c r="C3" s="206" t="s">
        <v>10</v>
      </c>
      <c r="D3" s="204" t="s">
        <v>11</v>
      </c>
      <c r="E3" s="208" t="s">
        <v>17</v>
      </c>
      <c r="F3" s="209"/>
      <c r="G3" s="208" t="s">
        <v>53</v>
      </c>
      <c r="H3" s="209"/>
      <c r="I3" s="204" t="s">
        <v>57</v>
      </c>
      <c r="J3" s="210" t="s">
        <v>8</v>
      </c>
      <c r="K3" s="211"/>
      <c r="L3" s="212" t="s">
        <v>14</v>
      </c>
      <c r="M3" s="84"/>
      <c r="N3" s="214" t="s">
        <v>97</v>
      </c>
      <c r="O3" s="216" t="s">
        <v>57</v>
      </c>
      <c r="P3" s="217"/>
      <c r="Q3" s="193" t="s">
        <v>16</v>
      </c>
    </row>
    <row r="4" spans="1:18" s="10" customFormat="1" ht="16.05" customHeight="1" x14ac:dyDescent="0.45">
      <c r="A4" s="85"/>
      <c r="B4" s="205"/>
      <c r="C4" s="207"/>
      <c r="D4" s="205"/>
      <c r="E4" s="86" t="s">
        <v>54</v>
      </c>
      <c r="F4" s="86" t="s">
        <v>55</v>
      </c>
      <c r="G4" s="87" t="s">
        <v>12</v>
      </c>
      <c r="H4" s="88" t="s">
        <v>13</v>
      </c>
      <c r="I4" s="205"/>
      <c r="J4" s="99" t="s">
        <v>12</v>
      </c>
      <c r="K4" s="99" t="s">
        <v>13</v>
      </c>
      <c r="L4" s="213"/>
      <c r="M4" s="89" t="s">
        <v>15</v>
      </c>
      <c r="N4" s="215"/>
      <c r="O4" s="218"/>
      <c r="P4" s="219"/>
      <c r="Q4" s="194"/>
    </row>
    <row r="5" spans="1:18" s="10" customFormat="1" ht="20" customHeight="1" x14ac:dyDescent="0.5">
      <c r="A5" s="59"/>
      <c r="B5" s="222" t="s">
        <v>96</v>
      </c>
      <c r="C5" s="223"/>
      <c r="D5" s="224"/>
      <c r="E5" s="104">
        <v>0.74305555555555547</v>
      </c>
      <c r="F5" s="32">
        <v>0.79166666666666663</v>
      </c>
      <c r="G5" s="225" t="str">
        <f>IF(L5="","",IF(G5="",$G$2,G5))</f>
        <v/>
      </c>
      <c r="H5" s="226"/>
      <c r="I5" s="225" t="str">
        <f ca="1">IF(L5="","",IF(I5="",TEXT(NOW(),"yyyy-mm-dd h:mm:ss"),I5))</f>
        <v/>
      </c>
      <c r="J5" s="227"/>
      <c r="K5" s="226"/>
      <c r="L5" s="33"/>
      <c r="M5" s="45" t="str">
        <f t="shared" ref="M5:M16" ca="1" si="0">IF(M5=0,"",IF(L5&lt;&gt;M5,L5,M5))</f>
        <v/>
      </c>
      <c r="N5" s="49" t="str">
        <f>IF(L5="未完成","×",IF(L5="已完成","√",""))</f>
        <v/>
      </c>
      <c r="O5" s="220" t="str">
        <f>IF(L5="","",IF(AND(TEXT(I5,"yyyymmddhhmmss")&gt;TEXT(SheetName,"yyyymmdd")&amp;TEXT(E5,"hhmmss"),TEXT(I5,"yyyymmddhhmmss")&lt;TEXT(SheetName,"yyyymmdd")&amp;TEXT(F5,"hhmmss")),"","超  时"))</f>
        <v/>
      </c>
      <c r="P5" s="221"/>
      <c r="Q5" s="50"/>
    </row>
    <row r="6" spans="1:18" s="8" customFormat="1" ht="20" customHeight="1" x14ac:dyDescent="0.5">
      <c r="A6" s="60"/>
      <c r="B6" s="61">
        <v>1</v>
      </c>
      <c r="C6" s="25" t="s">
        <v>48</v>
      </c>
      <c r="D6" s="26" t="s">
        <v>18</v>
      </c>
      <c r="E6" s="104">
        <v>0.74305555555555547</v>
      </c>
      <c r="F6" s="32">
        <v>0.99930555555555556</v>
      </c>
      <c r="G6" s="25" t="str">
        <f t="shared" ref="G6:G16" si="1">IF(L6="","",IF(G6="",$G$2,G6))</f>
        <v/>
      </c>
      <c r="H6" s="25" t="str">
        <f t="shared" ref="H6:H16" ca="1" si="2">IF(L6="","",IF(H6="",TEXT(NOW(),"yyyy-mm-dd h:mm:ss"),H6))</f>
        <v/>
      </c>
      <c r="I6" s="43" t="str">
        <f t="shared" ref="I6:I16" si="3">IF(L6="","",IF(AND(TEXT(H6,"yyyymmddhhmmss")&gt;TEXT(SheetName,"yyyymmdd")&amp;TEXT(E6,"hhmmss"),TEXT(H6,"yyyymmddhhmmss")&lt;TEXT(SheetName,"yyyymmdd")&amp;TEXT(F6,"hhmmss")),"","超  时"))</f>
        <v/>
      </c>
      <c r="J6" s="25" t="str">
        <f t="shared" ref="J6:J16" si="4">IF(L6 ="","",IF(L6&lt;&gt;M6,$G$2,J6))</f>
        <v/>
      </c>
      <c r="K6" s="25" t="str">
        <f t="shared" ref="K6:K16" ca="1" si="5">IF(L6 = "","",IF(L6&lt;&gt;M6,TEXT(NOW(),"yyyy-mm-dd h:mm:ss"),K6))</f>
        <v/>
      </c>
      <c r="L6" s="18"/>
      <c r="M6" s="5" t="str">
        <f t="shared" ca="1" si="0"/>
        <v/>
      </c>
      <c r="N6" s="100" t="str">
        <f t="shared" ref="N6:N16" si="6">IF(L6="未完成","×",IF(L6="已完成","√",""))</f>
        <v/>
      </c>
      <c r="O6" s="220" t="str">
        <f t="shared" ref="O6:O16" si="7">IF(L6="","",IF(AND(TEXT(K6,"yyyymmddhhmmss")&gt;TEXT(SheetName,"yyyymmdd")&amp;TEXT(E6,"hhmmss"),TEXT(K6,"yyyymmddhhmmss")&lt;TEXT(SheetName,"yyyymmdd")&amp;TEXT(F6,"hhmmss")),"","超  时"))</f>
        <v/>
      </c>
      <c r="P6" s="221"/>
      <c r="Q6" s="101"/>
    </row>
    <row r="7" spans="1:18" s="2" customFormat="1" ht="20" customHeight="1" x14ac:dyDescent="0.5">
      <c r="A7" s="60"/>
      <c r="B7" s="61">
        <v>2</v>
      </c>
      <c r="C7" s="25" t="s">
        <v>48</v>
      </c>
      <c r="D7" s="26" t="s">
        <v>104</v>
      </c>
      <c r="E7" s="104">
        <v>0.74305555555555547</v>
      </c>
      <c r="F7" s="32">
        <v>0.99930555555555556</v>
      </c>
      <c r="G7" s="25" t="str">
        <f t="shared" si="1"/>
        <v/>
      </c>
      <c r="H7" s="25" t="str">
        <f t="shared" ca="1" si="2"/>
        <v/>
      </c>
      <c r="I7" s="43" t="str">
        <f t="shared" si="3"/>
        <v/>
      </c>
      <c r="J7" s="25" t="str">
        <f t="shared" si="4"/>
        <v/>
      </c>
      <c r="K7" s="25" t="str">
        <f t="shared" ca="1" si="5"/>
        <v/>
      </c>
      <c r="L7" s="18"/>
      <c r="M7" s="5" t="str">
        <f t="shared" ca="1" si="0"/>
        <v/>
      </c>
      <c r="N7" s="100" t="str">
        <f t="shared" si="6"/>
        <v/>
      </c>
      <c r="O7" s="220" t="str">
        <f t="shared" si="7"/>
        <v/>
      </c>
      <c r="P7" s="221"/>
      <c r="Q7" s="101"/>
      <c r="R7" s="8"/>
    </row>
    <row r="8" spans="1:18" s="2" customFormat="1" ht="20" customHeight="1" x14ac:dyDescent="0.5">
      <c r="A8" s="60"/>
      <c r="B8" s="61">
        <v>3</v>
      </c>
      <c r="C8" s="25" t="s">
        <v>48</v>
      </c>
      <c r="D8" s="26" t="s">
        <v>105</v>
      </c>
      <c r="E8" s="104">
        <v>0.74305555555555547</v>
      </c>
      <c r="F8" s="32">
        <v>0.99930555555555556</v>
      </c>
      <c r="G8" s="25" t="str">
        <f t="shared" si="1"/>
        <v/>
      </c>
      <c r="H8" s="25" t="str">
        <f t="shared" ca="1" si="2"/>
        <v/>
      </c>
      <c r="I8" s="43" t="str">
        <f t="shared" si="3"/>
        <v/>
      </c>
      <c r="J8" s="25" t="str">
        <f t="shared" si="4"/>
        <v/>
      </c>
      <c r="K8" s="25" t="str">
        <f t="shared" ca="1" si="5"/>
        <v/>
      </c>
      <c r="L8" s="18"/>
      <c r="M8" s="5" t="str">
        <f t="shared" ca="1" si="0"/>
        <v/>
      </c>
      <c r="N8" s="100" t="str">
        <f t="shared" si="6"/>
        <v/>
      </c>
      <c r="O8" s="220" t="str">
        <f t="shared" si="7"/>
        <v/>
      </c>
      <c r="P8" s="221"/>
      <c r="Q8" s="102"/>
      <c r="R8" s="8"/>
    </row>
    <row r="9" spans="1:18" s="2" customFormat="1" ht="20" customHeight="1" x14ac:dyDescent="0.5">
      <c r="A9" s="60"/>
      <c r="B9" s="61">
        <v>4</v>
      </c>
      <c r="C9" s="25" t="s">
        <v>48</v>
      </c>
      <c r="D9" s="26" t="s">
        <v>19</v>
      </c>
      <c r="E9" s="104">
        <v>0.74305555555555547</v>
      </c>
      <c r="F9" s="32">
        <v>0.99930555555555556</v>
      </c>
      <c r="G9" s="25" t="str">
        <f t="shared" si="1"/>
        <v/>
      </c>
      <c r="H9" s="25" t="str">
        <f t="shared" ca="1" si="2"/>
        <v/>
      </c>
      <c r="I9" s="43" t="str">
        <f t="shared" si="3"/>
        <v/>
      </c>
      <c r="J9" s="25" t="str">
        <f t="shared" si="4"/>
        <v/>
      </c>
      <c r="K9" s="25" t="str">
        <f t="shared" ca="1" si="5"/>
        <v/>
      </c>
      <c r="L9" s="18"/>
      <c r="M9" s="5" t="str">
        <f t="shared" ca="1" si="0"/>
        <v/>
      </c>
      <c r="N9" s="100" t="str">
        <f t="shared" si="6"/>
        <v/>
      </c>
      <c r="O9" s="220" t="str">
        <f t="shared" si="7"/>
        <v/>
      </c>
      <c r="P9" s="221"/>
      <c r="Q9" s="103"/>
      <c r="R9" s="8"/>
    </row>
    <row r="10" spans="1:18" s="2" customFormat="1" ht="20" customHeight="1" x14ac:dyDescent="0.5">
      <c r="A10" s="62"/>
      <c r="B10" s="61">
        <v>5</v>
      </c>
      <c r="C10" s="25" t="s">
        <v>48</v>
      </c>
      <c r="D10" s="26" t="s">
        <v>20</v>
      </c>
      <c r="E10" s="104">
        <v>0.74305555555555547</v>
      </c>
      <c r="F10" s="32">
        <v>0.99930555555555556</v>
      </c>
      <c r="G10" s="25" t="str">
        <f t="shared" si="1"/>
        <v/>
      </c>
      <c r="H10" s="25" t="str">
        <f t="shared" ca="1" si="2"/>
        <v/>
      </c>
      <c r="I10" s="43" t="str">
        <f t="shared" si="3"/>
        <v/>
      </c>
      <c r="J10" s="25" t="str">
        <f t="shared" si="4"/>
        <v/>
      </c>
      <c r="K10" s="25" t="str">
        <f t="shared" ca="1" si="5"/>
        <v/>
      </c>
      <c r="L10" s="18"/>
      <c r="M10" s="5" t="str">
        <f t="shared" ca="1" si="0"/>
        <v/>
      </c>
      <c r="N10" s="100" t="str">
        <f t="shared" si="6"/>
        <v/>
      </c>
      <c r="O10" s="220" t="str">
        <f t="shared" si="7"/>
        <v/>
      </c>
      <c r="P10" s="221"/>
      <c r="Q10" s="50"/>
      <c r="R10" s="8"/>
    </row>
    <row r="11" spans="1:18" s="2" customFormat="1" ht="20" customHeight="1" x14ac:dyDescent="0.5">
      <c r="A11" s="62"/>
      <c r="B11" s="61">
        <v>6</v>
      </c>
      <c r="C11" s="25" t="s">
        <v>48</v>
      </c>
      <c r="D11" s="26" t="s">
        <v>21</v>
      </c>
      <c r="E11" s="104">
        <v>0.74305555555555547</v>
      </c>
      <c r="F11" s="32">
        <v>0.99930555555555556</v>
      </c>
      <c r="G11" s="25" t="str">
        <f t="shared" si="1"/>
        <v/>
      </c>
      <c r="H11" s="25" t="str">
        <f t="shared" ca="1" si="2"/>
        <v/>
      </c>
      <c r="I11" s="43" t="str">
        <f t="shared" si="3"/>
        <v/>
      </c>
      <c r="J11" s="25" t="str">
        <f t="shared" si="4"/>
        <v/>
      </c>
      <c r="K11" s="25" t="str">
        <f t="shared" ca="1" si="5"/>
        <v/>
      </c>
      <c r="L11" s="18"/>
      <c r="M11" s="5" t="str">
        <f t="shared" ca="1" si="0"/>
        <v/>
      </c>
      <c r="N11" s="100" t="str">
        <f t="shared" si="6"/>
        <v/>
      </c>
      <c r="O11" s="220" t="str">
        <f t="shared" si="7"/>
        <v/>
      </c>
      <c r="P11" s="221"/>
      <c r="Q11" s="50"/>
      <c r="R11" s="8"/>
    </row>
    <row r="12" spans="1:18" s="2" customFormat="1" ht="20" customHeight="1" x14ac:dyDescent="0.5">
      <c r="A12" s="62" t="s">
        <v>124</v>
      </c>
      <c r="B12" s="61">
        <v>7</v>
      </c>
      <c r="C12" s="25" t="s">
        <v>48</v>
      </c>
      <c r="D12" s="26" t="s">
        <v>22</v>
      </c>
      <c r="E12" s="104">
        <v>0.74305555555555547</v>
      </c>
      <c r="F12" s="32">
        <v>0.99930555555555556</v>
      </c>
      <c r="G12" s="25" t="str">
        <f t="shared" si="1"/>
        <v/>
      </c>
      <c r="H12" s="25" t="str">
        <f t="shared" ca="1" si="2"/>
        <v/>
      </c>
      <c r="I12" s="43" t="str">
        <f t="shared" si="3"/>
        <v/>
      </c>
      <c r="J12" s="25" t="str">
        <f t="shared" si="4"/>
        <v/>
      </c>
      <c r="K12" s="25" t="str">
        <f t="shared" ca="1" si="5"/>
        <v/>
      </c>
      <c r="L12" s="18"/>
      <c r="M12" s="5" t="str">
        <f t="shared" ca="1" si="0"/>
        <v/>
      </c>
      <c r="N12" s="100" t="str">
        <f t="shared" si="6"/>
        <v/>
      </c>
      <c r="O12" s="220" t="str">
        <f t="shared" si="7"/>
        <v/>
      </c>
      <c r="P12" s="221"/>
      <c r="Q12" s="50"/>
      <c r="R12" s="8"/>
    </row>
    <row r="13" spans="1:18" s="2" customFormat="1" ht="20" customHeight="1" x14ac:dyDescent="0.5">
      <c r="A13" s="62"/>
      <c r="B13" s="61">
        <v>8</v>
      </c>
      <c r="C13" s="25" t="s">
        <v>48</v>
      </c>
      <c r="D13" s="26" t="s">
        <v>106</v>
      </c>
      <c r="E13" s="104">
        <v>0.74305555555555547</v>
      </c>
      <c r="F13" s="32">
        <v>0.99930555555555556</v>
      </c>
      <c r="G13" s="25" t="str">
        <f t="shared" si="1"/>
        <v/>
      </c>
      <c r="H13" s="25" t="str">
        <f t="shared" ca="1" si="2"/>
        <v/>
      </c>
      <c r="I13" s="43" t="str">
        <f t="shared" si="3"/>
        <v/>
      </c>
      <c r="J13" s="25" t="str">
        <f t="shared" si="4"/>
        <v/>
      </c>
      <c r="K13" s="25" t="str">
        <f t="shared" ca="1" si="5"/>
        <v/>
      </c>
      <c r="L13" s="18"/>
      <c r="M13" s="5" t="str">
        <f t="shared" ca="1" si="0"/>
        <v/>
      </c>
      <c r="N13" s="100" t="str">
        <f t="shared" si="6"/>
        <v/>
      </c>
      <c r="O13" s="220" t="str">
        <f t="shared" si="7"/>
        <v/>
      </c>
      <c r="P13" s="221"/>
      <c r="Q13" s="50"/>
      <c r="R13" s="8" t="s">
        <v>52</v>
      </c>
    </row>
    <row r="14" spans="1:18" s="2" customFormat="1" ht="20" customHeight="1" x14ac:dyDescent="0.5">
      <c r="A14" s="60"/>
      <c r="B14" s="61">
        <v>9</v>
      </c>
      <c r="C14" s="25" t="s">
        <v>49</v>
      </c>
      <c r="D14" s="26" t="s">
        <v>119</v>
      </c>
      <c r="E14" s="104">
        <v>0.74305555555555547</v>
      </c>
      <c r="F14" s="32">
        <v>0.99930555555555556</v>
      </c>
      <c r="G14" s="25" t="str">
        <f t="shared" si="1"/>
        <v/>
      </c>
      <c r="H14" s="25" t="str">
        <f t="shared" ca="1" si="2"/>
        <v/>
      </c>
      <c r="I14" s="43" t="str">
        <f t="shared" si="3"/>
        <v/>
      </c>
      <c r="J14" s="25" t="str">
        <f t="shared" si="4"/>
        <v/>
      </c>
      <c r="K14" s="25" t="str">
        <f t="shared" ca="1" si="5"/>
        <v/>
      </c>
      <c r="L14" s="18"/>
      <c r="M14" s="5" t="str">
        <f t="shared" ca="1" si="0"/>
        <v/>
      </c>
      <c r="N14" s="100" t="str">
        <f t="shared" si="6"/>
        <v/>
      </c>
      <c r="O14" s="220" t="str">
        <f t="shared" si="7"/>
        <v/>
      </c>
      <c r="P14" s="221"/>
      <c r="Q14" s="50"/>
      <c r="R14" s="8"/>
    </row>
    <row r="15" spans="1:18" s="2" customFormat="1" ht="20" customHeight="1" x14ac:dyDescent="0.5">
      <c r="A15" s="60"/>
      <c r="B15" s="61">
        <v>10</v>
      </c>
      <c r="C15" s="25" t="s">
        <v>49</v>
      </c>
      <c r="D15" s="26" t="s">
        <v>23</v>
      </c>
      <c r="E15" s="104">
        <v>0.74305555555555547</v>
      </c>
      <c r="F15" s="32">
        <v>0.99930555555555556</v>
      </c>
      <c r="G15" s="25" t="str">
        <f t="shared" si="1"/>
        <v/>
      </c>
      <c r="H15" s="25" t="str">
        <f t="shared" ca="1" si="2"/>
        <v/>
      </c>
      <c r="I15" s="43" t="str">
        <f t="shared" si="3"/>
        <v/>
      </c>
      <c r="J15" s="25" t="str">
        <f t="shared" si="4"/>
        <v/>
      </c>
      <c r="K15" s="25" t="str">
        <f t="shared" ca="1" si="5"/>
        <v/>
      </c>
      <c r="L15" s="18"/>
      <c r="M15" s="5" t="str">
        <f t="shared" ca="1" si="0"/>
        <v/>
      </c>
      <c r="N15" s="100" t="str">
        <f t="shared" si="6"/>
        <v/>
      </c>
      <c r="O15" s="220" t="str">
        <f t="shared" si="7"/>
        <v/>
      </c>
      <c r="P15" s="221"/>
      <c r="Q15" s="50"/>
      <c r="R15" s="8"/>
    </row>
    <row r="16" spans="1:18" s="2" customFormat="1" ht="19.899999999999999" customHeight="1" x14ac:dyDescent="0.5">
      <c r="A16" s="60"/>
      <c r="B16" s="61">
        <v>11</v>
      </c>
      <c r="C16" s="25" t="s">
        <v>50</v>
      </c>
      <c r="D16" s="26" t="s">
        <v>120</v>
      </c>
      <c r="E16" s="104">
        <v>0.875</v>
      </c>
      <c r="F16" s="32">
        <v>0.89236111111111116</v>
      </c>
      <c r="G16" s="25" t="str">
        <f t="shared" si="1"/>
        <v/>
      </c>
      <c r="H16" s="25" t="str">
        <f t="shared" ca="1" si="2"/>
        <v/>
      </c>
      <c r="I16" s="43" t="str">
        <f t="shared" si="3"/>
        <v/>
      </c>
      <c r="J16" s="25" t="str">
        <f t="shared" si="4"/>
        <v/>
      </c>
      <c r="K16" s="25" t="str">
        <f t="shared" ca="1" si="5"/>
        <v/>
      </c>
      <c r="L16" s="18"/>
      <c r="M16" s="5" t="str">
        <f t="shared" ca="1" si="0"/>
        <v/>
      </c>
      <c r="N16" s="100" t="str">
        <f t="shared" si="6"/>
        <v/>
      </c>
      <c r="O16" s="220" t="str">
        <f t="shared" si="7"/>
        <v/>
      </c>
      <c r="P16" s="221"/>
      <c r="Q16" s="50"/>
      <c r="R16" s="8"/>
    </row>
    <row r="17" spans="1:18" s="2" customFormat="1" ht="19.899999999999999" customHeight="1" x14ac:dyDescent="0.5">
      <c r="A17" s="60"/>
      <c r="B17" s="61">
        <v>12</v>
      </c>
      <c r="C17" s="25" t="s">
        <v>121</v>
      </c>
      <c r="D17" s="26" t="s">
        <v>122</v>
      </c>
      <c r="E17" s="104">
        <v>0.79166666666666663</v>
      </c>
      <c r="F17" s="32">
        <v>0.83333333333333337</v>
      </c>
      <c r="G17" s="25" t="str">
        <f t="shared" ref="G17:G19" si="8">IF(L17="","",IF(G17="",$G$2,G17))</f>
        <v/>
      </c>
      <c r="H17" s="25" t="str">
        <f t="shared" ref="H17:H19" ca="1" si="9">IF(L17="","",IF(H17="",TEXT(NOW(),"yyyy-mm-dd h:mm:ss"),H17))</f>
        <v/>
      </c>
      <c r="I17" s="43" t="str">
        <f t="shared" ref="I17:I19" si="10">IF(L17="","",IF(AND(TEXT(H17,"yyyymmddhhmmss")&gt;TEXT(SheetName,"yyyymmdd")&amp;TEXT(E17,"hhmmss"),TEXT(H17,"yyyymmddhhmmss")&lt;TEXT(SheetName,"yyyymmdd")&amp;TEXT(F17,"hhmmss")),"","超  时"))</f>
        <v/>
      </c>
      <c r="J17" s="25" t="str">
        <f t="shared" ref="J17:J19" si="11">IF(L17 ="","",IF(L17&lt;&gt;M17,$G$2,J17))</f>
        <v/>
      </c>
      <c r="K17" s="25" t="str">
        <f t="shared" ref="K17:K19" ca="1" si="12">IF(L17 = "","",IF(L17&lt;&gt;M17,TEXT(NOW(),"yyyy-mm-dd h:mm:ss"),K17))</f>
        <v/>
      </c>
      <c r="L17" s="18"/>
      <c r="M17" s="5" t="str">
        <f t="shared" ref="M17:M19" ca="1" si="13">IF(M17=0,"",IF(L17&lt;&gt;M17,L17,M17))</f>
        <v/>
      </c>
      <c r="N17" s="100" t="str">
        <f t="shared" ref="N17:N19" si="14">IF(L17="未完成","×",IF(L17="已完成","√",""))</f>
        <v/>
      </c>
      <c r="O17" s="220" t="str">
        <f t="shared" ref="O17:O19" si="15">IF(L17="","",IF(AND(TEXT(K17,"yyyymmddhhmmss")&gt;TEXT(SheetName,"yyyymmdd")&amp;TEXT(E17,"hhmmss"),TEXT(K17,"yyyymmddhhmmss")&lt;TEXT(SheetName,"yyyymmdd")&amp;TEXT(F17,"hhmmss")),"","超  时"))</f>
        <v/>
      </c>
      <c r="P17" s="221"/>
      <c r="Q17" s="50"/>
      <c r="R17" s="8"/>
    </row>
    <row r="18" spans="1:18" s="2" customFormat="1" ht="19.899999999999999" customHeight="1" x14ac:dyDescent="0.5">
      <c r="A18" s="60"/>
      <c r="B18" s="61">
        <v>13</v>
      </c>
      <c r="C18" s="25" t="s">
        <v>121</v>
      </c>
      <c r="D18" s="26" t="s">
        <v>109</v>
      </c>
      <c r="E18" s="104">
        <v>0.75</v>
      </c>
      <c r="F18" s="32">
        <v>0.83333333333333337</v>
      </c>
      <c r="G18" s="25" t="str">
        <f t="shared" si="8"/>
        <v/>
      </c>
      <c r="H18" s="25" t="str">
        <f t="shared" ca="1" si="9"/>
        <v/>
      </c>
      <c r="I18" s="43" t="str">
        <f t="shared" si="10"/>
        <v/>
      </c>
      <c r="J18" s="25" t="str">
        <f t="shared" si="11"/>
        <v/>
      </c>
      <c r="K18" s="25" t="str">
        <f t="shared" ca="1" si="12"/>
        <v/>
      </c>
      <c r="L18" s="18"/>
      <c r="M18" s="5" t="str">
        <f t="shared" ca="1" si="13"/>
        <v/>
      </c>
      <c r="N18" s="100" t="str">
        <f t="shared" si="14"/>
        <v/>
      </c>
      <c r="O18" s="220" t="str">
        <f t="shared" si="15"/>
        <v/>
      </c>
      <c r="P18" s="221"/>
      <c r="Q18" s="50"/>
      <c r="R18" s="8"/>
    </row>
    <row r="19" spans="1:18" s="2" customFormat="1" ht="19.899999999999999" customHeight="1" x14ac:dyDescent="0.5">
      <c r="A19" s="60"/>
      <c r="B19" s="61">
        <v>14</v>
      </c>
      <c r="C19" s="25" t="s">
        <v>121</v>
      </c>
      <c r="D19" s="26" t="s">
        <v>123</v>
      </c>
      <c r="E19" s="104">
        <v>0.79166666666666663</v>
      </c>
      <c r="F19" s="32">
        <v>0.91666666666666663</v>
      </c>
      <c r="G19" s="25" t="str">
        <f t="shared" si="8"/>
        <v/>
      </c>
      <c r="H19" s="25" t="str">
        <f t="shared" ca="1" si="9"/>
        <v/>
      </c>
      <c r="I19" s="43" t="str">
        <f t="shared" si="10"/>
        <v/>
      </c>
      <c r="J19" s="25" t="str">
        <f t="shared" si="11"/>
        <v/>
      </c>
      <c r="K19" s="25" t="str">
        <f t="shared" ca="1" si="12"/>
        <v/>
      </c>
      <c r="L19" s="18"/>
      <c r="M19" s="5" t="str">
        <f t="shared" ca="1" si="13"/>
        <v/>
      </c>
      <c r="N19" s="100" t="str">
        <f t="shared" si="14"/>
        <v/>
      </c>
      <c r="O19" s="220" t="str">
        <f t="shared" si="15"/>
        <v/>
      </c>
      <c r="P19" s="221"/>
      <c r="Q19" s="50"/>
      <c r="R19" s="8"/>
    </row>
    <row r="20" spans="1:18" s="2" customFormat="1" ht="20" customHeight="1" x14ac:dyDescent="0.5">
      <c r="A20" s="60"/>
      <c r="B20" s="178" t="s">
        <v>80</v>
      </c>
      <c r="C20" s="179"/>
      <c r="D20" s="46" t="s">
        <v>77</v>
      </c>
      <c r="E20" s="180" t="s">
        <v>73</v>
      </c>
      <c r="F20" s="181"/>
      <c r="G20" s="90" t="s">
        <v>74</v>
      </c>
      <c r="H20" s="180" t="s">
        <v>78</v>
      </c>
      <c r="I20" s="181"/>
      <c r="J20" s="90" t="s">
        <v>79</v>
      </c>
      <c r="K20" s="98" t="s">
        <v>81</v>
      </c>
      <c r="L20" s="180" t="s">
        <v>71</v>
      </c>
      <c r="M20" s="182"/>
      <c r="N20" s="182"/>
      <c r="O20" s="182"/>
      <c r="P20" s="181"/>
      <c r="Q20" s="91" t="s">
        <v>72</v>
      </c>
      <c r="R20" s="8"/>
    </row>
    <row r="21" spans="1:18" s="2" customFormat="1" ht="30" customHeight="1" x14ac:dyDescent="0.5">
      <c r="A21" s="60"/>
      <c r="B21" s="225" t="s">
        <v>75</v>
      </c>
      <c r="C21" s="226"/>
      <c r="D21" s="51"/>
      <c r="E21" s="168"/>
      <c r="F21" s="169"/>
      <c r="G21" s="52"/>
      <c r="H21" s="185"/>
      <c r="I21" s="186"/>
      <c r="J21" s="131" t="str">
        <f>IF(L21 ="","",IF(L21&lt;&gt;M21,$G$2,J21))</f>
        <v/>
      </c>
      <c r="K21" s="132" t="str">
        <f ca="1">IF(L21 = "","",IF(L21&lt;&gt;M21,TEXT(NOW(),"yyyy-mm-dd h:mm:ss"),K21))</f>
        <v/>
      </c>
      <c r="L21" s="18"/>
      <c r="M21" s="71" t="str">
        <f t="shared" ref="M21:M22" ca="1" si="16">IF(M21=0,"",IF(L21&lt;&gt;M21,L21,M21))</f>
        <v/>
      </c>
      <c r="N21" s="228" t="str">
        <f>IF(L21="未完成","×",IF(L21="已完成","√",""))</f>
        <v/>
      </c>
      <c r="O21" s="229"/>
      <c r="P21" s="230"/>
      <c r="Q21" s="66"/>
      <c r="R21" s="8"/>
    </row>
    <row r="22" spans="1:18" s="2" customFormat="1" ht="30" customHeight="1" x14ac:dyDescent="0.5">
      <c r="A22" s="60"/>
      <c r="B22" s="225" t="s">
        <v>76</v>
      </c>
      <c r="C22" s="226"/>
      <c r="D22" s="51"/>
      <c r="E22" s="168"/>
      <c r="F22" s="169"/>
      <c r="G22" s="52"/>
      <c r="H22" s="185"/>
      <c r="I22" s="186"/>
      <c r="J22" s="131" t="str">
        <f t="shared" ref="J22" si="17">IF(L22 ="","",IF(L22&lt;&gt;M22,$G$2,J22))</f>
        <v/>
      </c>
      <c r="K22" s="132" t="str">
        <f ca="1">IF(L22 = "","",IF(L22&lt;&gt;M22,TEXT(NOW(),"yyyy-mm-dd h:mm:ss"),K22))</f>
        <v/>
      </c>
      <c r="L22" s="18"/>
      <c r="M22" s="45" t="str">
        <f t="shared" ca="1" si="16"/>
        <v/>
      </c>
      <c r="N22" s="231" t="str">
        <f>IF(L22="未完成","×",IF(L22="已完成","√",""))</f>
        <v/>
      </c>
      <c r="O22" s="231"/>
      <c r="P22" s="232"/>
      <c r="Q22" s="67"/>
      <c r="R22" s="8"/>
    </row>
    <row r="23" spans="1:18" s="2" customFormat="1" ht="20" customHeight="1" x14ac:dyDescent="0.5">
      <c r="A23" s="60"/>
      <c r="B23" s="178" t="s">
        <v>114</v>
      </c>
      <c r="C23" s="179"/>
      <c r="D23" s="46" t="s">
        <v>77</v>
      </c>
      <c r="E23" s="180" t="s">
        <v>69</v>
      </c>
      <c r="F23" s="181"/>
      <c r="G23" s="90" t="s">
        <v>74</v>
      </c>
      <c r="H23" s="90" t="s">
        <v>113</v>
      </c>
      <c r="I23" s="90" t="s">
        <v>112</v>
      </c>
      <c r="J23" s="90" t="s">
        <v>79</v>
      </c>
      <c r="K23" s="98" t="s">
        <v>81</v>
      </c>
      <c r="L23" s="180" t="s">
        <v>71</v>
      </c>
      <c r="M23" s="182"/>
      <c r="N23" s="182"/>
      <c r="O23" s="182"/>
      <c r="P23" s="181"/>
      <c r="Q23" s="91" t="s">
        <v>72</v>
      </c>
      <c r="R23" s="8"/>
    </row>
    <row r="24" spans="1:18" s="2" customFormat="1" ht="20" customHeight="1" x14ac:dyDescent="0.5">
      <c r="A24" s="60"/>
      <c r="B24" s="235" t="s">
        <v>115</v>
      </c>
      <c r="C24" s="95"/>
      <c r="D24" s="51"/>
      <c r="E24" s="168"/>
      <c r="F24" s="169"/>
      <c r="G24" s="52"/>
      <c r="H24" s="106" t="str">
        <f ca="1">IF(I24 = "", "", TEXT(NOW(),"yy-mm-dd hh:mm:ss"))</f>
        <v/>
      </c>
      <c r="I24" s="94"/>
      <c r="J24" s="25" t="s">
        <v>110</v>
      </c>
      <c r="K24" s="76" t="str">
        <f ca="1">IF(L24 = "","",IF(L24&lt;&gt;M24,TEXT(NOW(),"yyyy-mm-dd h:mm:ss"),K24))</f>
        <v/>
      </c>
      <c r="L24" s="18"/>
      <c r="M24" s="71" t="s">
        <v>110</v>
      </c>
      <c r="N24" s="228" t="s">
        <v>110</v>
      </c>
      <c r="O24" s="229"/>
      <c r="P24" s="230"/>
      <c r="Q24" s="66"/>
      <c r="R24" s="8"/>
    </row>
    <row r="25" spans="1:18" s="2" customFormat="1" ht="20" customHeight="1" x14ac:dyDescent="0.5">
      <c r="A25" s="60"/>
      <c r="B25" s="236"/>
      <c r="C25" s="95"/>
      <c r="D25" s="51"/>
      <c r="E25" s="168"/>
      <c r="F25" s="169"/>
      <c r="G25" s="52"/>
      <c r="H25" s="106" t="str">
        <f t="shared" ref="H25:H26" ca="1" si="18">IF(I25 = "", "", TEXT(NOW(),"yy-mm-dd hh:mm:ss"))</f>
        <v/>
      </c>
      <c r="I25" s="94"/>
      <c r="J25" s="25" t="s">
        <v>110</v>
      </c>
      <c r="K25" s="76" t="str">
        <f t="shared" ref="K25:K26" ca="1" si="19">IF(L25 = "","",IF(L25&lt;&gt;M25,TEXT(NOW(),"yyyy-mm-dd h:mm:ss"),K25))</f>
        <v/>
      </c>
      <c r="L25" s="18"/>
      <c r="M25" s="45" t="s">
        <v>110</v>
      </c>
      <c r="N25" s="231" t="s">
        <v>110</v>
      </c>
      <c r="O25" s="231"/>
      <c r="P25" s="232"/>
      <c r="Q25" s="67"/>
      <c r="R25" s="8"/>
    </row>
    <row r="26" spans="1:18" s="2" customFormat="1" ht="20" customHeight="1" x14ac:dyDescent="0.5">
      <c r="A26" s="60"/>
      <c r="B26" s="237"/>
      <c r="C26" s="95"/>
      <c r="D26" s="51"/>
      <c r="E26" s="168"/>
      <c r="F26" s="169"/>
      <c r="G26" s="52"/>
      <c r="H26" s="106" t="str">
        <f t="shared" ca="1" si="18"/>
        <v/>
      </c>
      <c r="I26" s="94"/>
      <c r="J26" s="25" t="s">
        <v>110</v>
      </c>
      <c r="K26" s="76" t="str">
        <f t="shared" ca="1" si="19"/>
        <v/>
      </c>
      <c r="L26" s="18"/>
      <c r="M26" s="71" t="s">
        <v>110</v>
      </c>
      <c r="N26" s="228" t="s">
        <v>110</v>
      </c>
      <c r="O26" s="229"/>
      <c r="P26" s="230"/>
      <c r="Q26" s="66"/>
      <c r="R26" s="8"/>
    </row>
    <row r="27" spans="1:18" s="2" customFormat="1" ht="40.049999999999997" customHeight="1" x14ac:dyDescent="0.5">
      <c r="A27" s="60"/>
      <c r="B27" s="233" t="s">
        <v>116</v>
      </c>
      <c r="C27" s="156"/>
      <c r="D27" s="157"/>
      <c r="E27" s="157"/>
      <c r="F27" s="157"/>
      <c r="G27" s="157"/>
      <c r="H27" s="158"/>
      <c r="I27" s="96" t="s">
        <v>118</v>
      </c>
      <c r="J27" s="162"/>
      <c r="K27" s="163"/>
      <c r="L27" s="163"/>
      <c r="M27" s="163"/>
      <c r="N27" s="163"/>
      <c r="O27" s="163"/>
      <c r="P27" s="163"/>
      <c r="Q27" s="164"/>
    </row>
    <row r="28" spans="1:18" s="2" customFormat="1" ht="40.15" customHeight="1" x14ac:dyDescent="0.5">
      <c r="A28" s="63"/>
      <c r="B28" s="234"/>
      <c r="C28" s="159"/>
      <c r="D28" s="160"/>
      <c r="E28" s="160"/>
      <c r="F28" s="160"/>
      <c r="G28" s="160"/>
      <c r="H28" s="161"/>
      <c r="I28" s="97" t="s">
        <v>117</v>
      </c>
      <c r="J28" s="165"/>
      <c r="K28" s="166"/>
      <c r="L28" s="166"/>
      <c r="M28" s="166"/>
      <c r="N28" s="166"/>
      <c r="O28" s="166"/>
      <c r="P28" s="166"/>
      <c r="Q28" s="167"/>
    </row>
    <row r="29" spans="1:18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18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18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18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s="8" customFormat="1" ht="20" hidden="1" customHeight="1" x14ac:dyDescent="0.5">
      <c r="A92" s="20"/>
      <c r="B92" s="28"/>
      <c r="C92" s="22"/>
      <c r="D92" s="16"/>
      <c r="E92" s="22"/>
      <c r="F92" s="22"/>
      <c r="G92" s="22"/>
      <c r="H92" s="22"/>
      <c r="I92" s="22"/>
      <c r="J92" s="22"/>
      <c r="K92" s="22"/>
      <c r="L92" s="29"/>
      <c r="M92" s="7"/>
      <c r="N92" s="14"/>
      <c r="O92" s="40"/>
      <c r="P92" s="9"/>
      <c r="Q92" s="7"/>
    </row>
    <row r="93" spans="1:17" ht="22.9" hidden="1" customHeight="1" x14ac:dyDescent="0.5"/>
  </sheetData>
  <dataConsolidate/>
  <mergeCells count="60">
    <mergeCell ref="B27:B28"/>
    <mergeCell ref="C27:H28"/>
    <mergeCell ref="J27:Q27"/>
    <mergeCell ref="J28:Q28"/>
    <mergeCell ref="O17:P17"/>
    <mergeCell ref="O18:P18"/>
    <mergeCell ref="O19:P19"/>
    <mergeCell ref="B23:C23"/>
    <mergeCell ref="E23:F23"/>
    <mergeCell ref="L23:P23"/>
    <mergeCell ref="B24:B26"/>
    <mergeCell ref="E24:F24"/>
    <mergeCell ref="N24:P24"/>
    <mergeCell ref="E25:F25"/>
    <mergeCell ref="N25:P25"/>
    <mergeCell ref="E26:F26"/>
    <mergeCell ref="N26:P26"/>
    <mergeCell ref="B21:C21"/>
    <mergeCell ref="E21:F21"/>
    <mergeCell ref="H21:I21"/>
    <mergeCell ref="N21:P21"/>
    <mergeCell ref="B22:C22"/>
    <mergeCell ref="E22:F22"/>
    <mergeCell ref="H22:I22"/>
    <mergeCell ref="N22:P22"/>
    <mergeCell ref="O14:P14"/>
    <mergeCell ref="O15:P15"/>
    <mergeCell ref="O16:P16"/>
    <mergeCell ref="B20:C20"/>
    <mergeCell ref="E20:F20"/>
    <mergeCell ref="H20:I20"/>
    <mergeCell ref="L20:P20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</mergeCells>
  <phoneticPr fontId="1" type="noConversion"/>
  <conditionalFormatting sqref="N30:O30">
    <cfRule type="cellIs" dxfId="893" priority="303" operator="equal">
      <formula>"×"</formula>
    </cfRule>
    <cfRule type="cellIs" dxfId="892" priority="304" operator="equal">
      <formula>"√"</formula>
    </cfRule>
  </conditionalFormatting>
  <conditionalFormatting sqref="L30">
    <cfRule type="cellIs" dxfId="891" priority="301" operator="equal">
      <formula>"未完成"</formula>
    </cfRule>
    <cfRule type="cellIs" dxfId="890" priority="302" operator="equal">
      <formula>"已完成"</formula>
    </cfRule>
  </conditionalFormatting>
  <conditionalFormatting sqref="N7:N15 I16:I19 N16:O19">
    <cfRule type="cellIs" dxfId="889" priority="299" operator="equal">
      <formula>"×"</formula>
    </cfRule>
    <cfRule type="cellIs" dxfId="888" priority="300" operator="equal">
      <formula>"√"</formula>
    </cfRule>
  </conditionalFormatting>
  <conditionalFormatting sqref="L7:L19">
    <cfRule type="cellIs" dxfId="887" priority="297" operator="equal">
      <formula>"未完成"</formula>
    </cfRule>
    <cfRule type="cellIs" dxfId="886" priority="298" operator="equal">
      <formula>"已完成"</formula>
    </cfRule>
  </conditionalFormatting>
  <conditionalFormatting sqref="D21:D22 N21:N22">
    <cfRule type="cellIs" dxfId="885" priority="295" operator="equal">
      <formula>"×"</formula>
    </cfRule>
    <cfRule type="cellIs" dxfId="884" priority="296" operator="equal">
      <formula>"√"</formula>
    </cfRule>
  </conditionalFormatting>
  <conditionalFormatting sqref="L21:L22">
    <cfRule type="cellIs" dxfId="883" priority="293" operator="equal">
      <formula>"未完成"</formula>
    </cfRule>
    <cfRule type="cellIs" dxfId="882" priority="294" operator="equal">
      <formula>"已完成"</formula>
    </cfRule>
  </conditionalFormatting>
  <conditionalFormatting sqref="L20">
    <cfRule type="cellIs" dxfId="881" priority="289" operator="equal">
      <formula>"未完成"</formula>
    </cfRule>
    <cfRule type="cellIs" dxfId="880" priority="290" operator="equal">
      <formula>"已完成"</formula>
    </cfRule>
  </conditionalFormatting>
  <conditionalFormatting sqref="D20">
    <cfRule type="cellIs" dxfId="879" priority="291" operator="equal">
      <formula>"×"</formula>
    </cfRule>
    <cfRule type="cellIs" dxfId="878" priority="292" operator="equal">
      <formula>"√"</formula>
    </cfRule>
  </conditionalFormatting>
  <conditionalFormatting sqref="I7:I15">
    <cfRule type="cellIs" dxfId="877" priority="287" operator="equal">
      <formula>"×"</formula>
    </cfRule>
    <cfRule type="cellIs" dxfId="876" priority="288" operator="equal">
      <formula>"√"</formula>
    </cfRule>
  </conditionalFormatting>
  <conditionalFormatting sqref="O7:O15">
    <cfRule type="cellIs" dxfId="875" priority="285" operator="equal">
      <formula>"×"</formula>
    </cfRule>
    <cfRule type="cellIs" dxfId="874" priority="286" operator="equal">
      <formula>"√"</formula>
    </cfRule>
  </conditionalFormatting>
  <conditionalFormatting sqref="N5:O5">
    <cfRule type="cellIs" dxfId="873" priority="283" operator="equal">
      <formula>"×"</formula>
    </cfRule>
    <cfRule type="cellIs" dxfId="872" priority="284" operator="equal">
      <formula>"√"</formula>
    </cfRule>
  </conditionalFormatting>
  <conditionalFormatting sqref="L5">
    <cfRule type="cellIs" dxfId="871" priority="281" operator="equal">
      <formula>"未完成"</formula>
    </cfRule>
    <cfRule type="cellIs" dxfId="870" priority="282" operator="equal">
      <formula>"已完成"</formula>
    </cfRule>
  </conditionalFormatting>
  <conditionalFormatting sqref="N6">
    <cfRule type="cellIs" dxfId="869" priority="279" operator="equal">
      <formula>"×"</formula>
    </cfRule>
    <cfRule type="cellIs" dxfId="868" priority="280" operator="equal">
      <formula>"√"</formula>
    </cfRule>
  </conditionalFormatting>
  <conditionalFormatting sqref="L6">
    <cfRule type="cellIs" dxfId="867" priority="277" operator="equal">
      <formula>"未完成"</formula>
    </cfRule>
    <cfRule type="cellIs" dxfId="866" priority="278" operator="equal">
      <formula>"已完成"</formula>
    </cfRule>
  </conditionalFormatting>
  <conditionalFormatting sqref="I6">
    <cfRule type="cellIs" dxfId="865" priority="275" operator="equal">
      <formula>"×"</formula>
    </cfRule>
    <cfRule type="cellIs" dxfId="864" priority="276" operator="equal">
      <formula>"√"</formula>
    </cfRule>
  </conditionalFormatting>
  <conditionalFormatting sqref="O6">
    <cfRule type="cellIs" dxfId="863" priority="273" operator="equal">
      <formula>"×"</formula>
    </cfRule>
    <cfRule type="cellIs" dxfId="862" priority="274" operator="equal">
      <formula>"√"</formula>
    </cfRule>
  </conditionalFormatting>
  <conditionalFormatting sqref="N31:O31">
    <cfRule type="cellIs" dxfId="861" priority="263" operator="equal">
      <formula>"×"</formula>
    </cfRule>
    <cfRule type="cellIs" dxfId="860" priority="264" operator="equal">
      <formula>"√"</formula>
    </cfRule>
  </conditionalFormatting>
  <conditionalFormatting sqref="L31">
    <cfRule type="cellIs" dxfId="859" priority="261" operator="equal">
      <formula>"未完成"</formula>
    </cfRule>
    <cfRule type="cellIs" dxfId="858" priority="262" operator="equal">
      <formula>"已完成"</formula>
    </cfRule>
  </conditionalFormatting>
  <conditionalFormatting sqref="N32:O32">
    <cfRule type="cellIs" dxfId="857" priority="259" operator="equal">
      <formula>"×"</formula>
    </cfRule>
    <cfRule type="cellIs" dxfId="856" priority="260" operator="equal">
      <formula>"√"</formula>
    </cfRule>
  </conditionalFormatting>
  <conditionalFormatting sqref="L32">
    <cfRule type="cellIs" dxfId="855" priority="257" operator="equal">
      <formula>"未完成"</formula>
    </cfRule>
    <cfRule type="cellIs" dxfId="854" priority="258" operator="equal">
      <formula>"已完成"</formula>
    </cfRule>
  </conditionalFormatting>
  <conditionalFormatting sqref="N33:O33">
    <cfRule type="cellIs" dxfId="853" priority="255" operator="equal">
      <formula>"×"</formula>
    </cfRule>
    <cfRule type="cellIs" dxfId="852" priority="256" operator="equal">
      <formula>"√"</formula>
    </cfRule>
  </conditionalFormatting>
  <conditionalFormatting sqref="L33">
    <cfRule type="cellIs" dxfId="851" priority="253" operator="equal">
      <formula>"未完成"</formula>
    </cfRule>
    <cfRule type="cellIs" dxfId="850" priority="254" operator="equal">
      <formula>"已完成"</formula>
    </cfRule>
  </conditionalFormatting>
  <conditionalFormatting sqref="N34:O34">
    <cfRule type="cellIs" dxfId="849" priority="251" operator="equal">
      <formula>"×"</formula>
    </cfRule>
    <cfRule type="cellIs" dxfId="848" priority="252" operator="equal">
      <formula>"√"</formula>
    </cfRule>
  </conditionalFormatting>
  <conditionalFormatting sqref="L34">
    <cfRule type="cellIs" dxfId="847" priority="249" operator="equal">
      <formula>"未完成"</formula>
    </cfRule>
    <cfRule type="cellIs" dxfId="846" priority="250" operator="equal">
      <formula>"已完成"</formula>
    </cfRule>
  </conditionalFormatting>
  <conditionalFormatting sqref="N35:O35">
    <cfRule type="cellIs" dxfId="845" priority="247" operator="equal">
      <formula>"×"</formula>
    </cfRule>
    <cfRule type="cellIs" dxfId="844" priority="248" operator="equal">
      <formula>"√"</formula>
    </cfRule>
  </conditionalFormatting>
  <conditionalFormatting sqref="L35">
    <cfRule type="cellIs" dxfId="843" priority="245" operator="equal">
      <formula>"未完成"</formula>
    </cfRule>
    <cfRule type="cellIs" dxfId="842" priority="246" operator="equal">
      <formula>"已完成"</formula>
    </cfRule>
  </conditionalFormatting>
  <conditionalFormatting sqref="N36:O36">
    <cfRule type="cellIs" dxfId="841" priority="243" operator="equal">
      <formula>"×"</formula>
    </cfRule>
    <cfRule type="cellIs" dxfId="840" priority="244" operator="equal">
      <formula>"√"</formula>
    </cfRule>
  </conditionalFormatting>
  <conditionalFormatting sqref="L36">
    <cfRule type="cellIs" dxfId="839" priority="241" operator="equal">
      <formula>"未完成"</formula>
    </cfRule>
    <cfRule type="cellIs" dxfId="838" priority="242" operator="equal">
      <formula>"已完成"</formula>
    </cfRule>
  </conditionalFormatting>
  <conditionalFormatting sqref="N37:O37">
    <cfRule type="cellIs" dxfId="837" priority="239" operator="equal">
      <formula>"×"</formula>
    </cfRule>
    <cfRule type="cellIs" dxfId="836" priority="240" operator="equal">
      <formula>"√"</formula>
    </cfRule>
  </conditionalFormatting>
  <conditionalFormatting sqref="L37">
    <cfRule type="cellIs" dxfId="835" priority="237" operator="equal">
      <formula>"未完成"</formula>
    </cfRule>
    <cfRule type="cellIs" dxfId="834" priority="238" operator="equal">
      <formula>"已完成"</formula>
    </cfRule>
  </conditionalFormatting>
  <conditionalFormatting sqref="N38:O38">
    <cfRule type="cellIs" dxfId="833" priority="235" operator="equal">
      <formula>"×"</formula>
    </cfRule>
    <cfRule type="cellIs" dxfId="832" priority="236" operator="equal">
      <formula>"√"</formula>
    </cfRule>
  </conditionalFormatting>
  <conditionalFormatting sqref="L38">
    <cfRule type="cellIs" dxfId="831" priority="233" operator="equal">
      <formula>"未完成"</formula>
    </cfRule>
    <cfRule type="cellIs" dxfId="830" priority="234" operator="equal">
      <formula>"已完成"</formula>
    </cfRule>
  </conditionalFormatting>
  <conditionalFormatting sqref="N39:O39">
    <cfRule type="cellIs" dxfId="829" priority="231" operator="equal">
      <formula>"×"</formula>
    </cfRule>
    <cfRule type="cellIs" dxfId="828" priority="232" operator="equal">
      <formula>"√"</formula>
    </cfRule>
  </conditionalFormatting>
  <conditionalFormatting sqref="L39">
    <cfRule type="cellIs" dxfId="827" priority="229" operator="equal">
      <formula>"未完成"</formula>
    </cfRule>
    <cfRule type="cellIs" dxfId="826" priority="230" operator="equal">
      <formula>"已完成"</formula>
    </cfRule>
  </conditionalFormatting>
  <conditionalFormatting sqref="N40:O40">
    <cfRule type="cellIs" dxfId="825" priority="227" operator="equal">
      <formula>"×"</formula>
    </cfRule>
    <cfRule type="cellIs" dxfId="824" priority="228" operator="equal">
      <formula>"√"</formula>
    </cfRule>
  </conditionalFormatting>
  <conditionalFormatting sqref="L40">
    <cfRule type="cellIs" dxfId="823" priority="225" operator="equal">
      <formula>"未完成"</formula>
    </cfRule>
    <cfRule type="cellIs" dxfId="822" priority="226" operator="equal">
      <formula>"已完成"</formula>
    </cfRule>
  </conditionalFormatting>
  <conditionalFormatting sqref="N41:O41">
    <cfRule type="cellIs" dxfId="821" priority="223" operator="equal">
      <formula>"×"</formula>
    </cfRule>
    <cfRule type="cellIs" dxfId="820" priority="224" operator="equal">
      <formula>"√"</formula>
    </cfRule>
  </conditionalFormatting>
  <conditionalFormatting sqref="L41">
    <cfRule type="cellIs" dxfId="819" priority="221" operator="equal">
      <formula>"未完成"</formula>
    </cfRule>
    <cfRule type="cellIs" dxfId="818" priority="222" operator="equal">
      <formula>"已完成"</formula>
    </cfRule>
  </conditionalFormatting>
  <conditionalFormatting sqref="N42:O42">
    <cfRule type="cellIs" dxfId="817" priority="219" operator="equal">
      <formula>"×"</formula>
    </cfRule>
    <cfRule type="cellIs" dxfId="816" priority="220" operator="equal">
      <formula>"√"</formula>
    </cfRule>
  </conditionalFormatting>
  <conditionalFormatting sqref="L42">
    <cfRule type="cellIs" dxfId="815" priority="217" operator="equal">
      <formula>"未完成"</formula>
    </cfRule>
    <cfRule type="cellIs" dxfId="814" priority="218" operator="equal">
      <formula>"已完成"</formula>
    </cfRule>
  </conditionalFormatting>
  <conditionalFormatting sqref="N43:O43">
    <cfRule type="cellIs" dxfId="813" priority="215" operator="equal">
      <formula>"×"</formula>
    </cfRule>
    <cfRule type="cellIs" dxfId="812" priority="216" operator="equal">
      <formula>"√"</formula>
    </cfRule>
  </conditionalFormatting>
  <conditionalFormatting sqref="L43">
    <cfRule type="cellIs" dxfId="811" priority="213" operator="equal">
      <formula>"未完成"</formula>
    </cfRule>
    <cfRule type="cellIs" dxfId="810" priority="214" operator="equal">
      <formula>"已完成"</formula>
    </cfRule>
  </conditionalFormatting>
  <conditionalFormatting sqref="N44:O44">
    <cfRule type="cellIs" dxfId="809" priority="211" operator="equal">
      <formula>"×"</formula>
    </cfRule>
    <cfRule type="cellIs" dxfId="808" priority="212" operator="equal">
      <formula>"√"</formula>
    </cfRule>
  </conditionalFormatting>
  <conditionalFormatting sqref="L44">
    <cfRule type="cellIs" dxfId="807" priority="209" operator="equal">
      <formula>"未完成"</formula>
    </cfRule>
    <cfRule type="cellIs" dxfId="806" priority="210" operator="equal">
      <formula>"已完成"</formula>
    </cfRule>
  </conditionalFormatting>
  <conditionalFormatting sqref="N45:O45">
    <cfRule type="cellIs" dxfId="805" priority="207" operator="equal">
      <formula>"×"</formula>
    </cfRule>
    <cfRule type="cellIs" dxfId="804" priority="208" operator="equal">
      <formula>"√"</formula>
    </cfRule>
  </conditionalFormatting>
  <conditionalFormatting sqref="L45">
    <cfRule type="cellIs" dxfId="803" priority="205" operator="equal">
      <formula>"未完成"</formula>
    </cfRule>
    <cfRule type="cellIs" dxfId="802" priority="206" operator="equal">
      <formula>"已完成"</formula>
    </cfRule>
  </conditionalFormatting>
  <conditionalFormatting sqref="N46:O46">
    <cfRule type="cellIs" dxfId="801" priority="203" operator="equal">
      <formula>"×"</formula>
    </cfRule>
    <cfRule type="cellIs" dxfId="800" priority="204" operator="equal">
      <formula>"√"</formula>
    </cfRule>
  </conditionalFormatting>
  <conditionalFormatting sqref="L46">
    <cfRule type="cellIs" dxfId="799" priority="201" operator="equal">
      <formula>"未完成"</formula>
    </cfRule>
    <cfRule type="cellIs" dxfId="798" priority="202" operator="equal">
      <formula>"已完成"</formula>
    </cfRule>
  </conditionalFormatting>
  <conditionalFormatting sqref="N47:O47">
    <cfRule type="cellIs" dxfId="797" priority="199" operator="equal">
      <formula>"×"</formula>
    </cfRule>
    <cfRule type="cellIs" dxfId="796" priority="200" operator="equal">
      <formula>"√"</formula>
    </cfRule>
  </conditionalFormatting>
  <conditionalFormatting sqref="L47">
    <cfRule type="cellIs" dxfId="795" priority="197" operator="equal">
      <formula>"未完成"</formula>
    </cfRule>
    <cfRule type="cellIs" dxfId="794" priority="198" operator="equal">
      <formula>"已完成"</formula>
    </cfRule>
  </conditionalFormatting>
  <conditionalFormatting sqref="N48:O48">
    <cfRule type="cellIs" dxfId="793" priority="195" operator="equal">
      <formula>"×"</formula>
    </cfRule>
    <cfRule type="cellIs" dxfId="792" priority="196" operator="equal">
      <formula>"√"</formula>
    </cfRule>
  </conditionalFormatting>
  <conditionalFormatting sqref="L48">
    <cfRule type="cellIs" dxfId="791" priority="193" operator="equal">
      <formula>"未完成"</formula>
    </cfRule>
    <cfRule type="cellIs" dxfId="790" priority="194" operator="equal">
      <formula>"已完成"</formula>
    </cfRule>
  </conditionalFormatting>
  <conditionalFormatting sqref="N49:O49">
    <cfRule type="cellIs" dxfId="789" priority="191" operator="equal">
      <formula>"×"</formula>
    </cfRule>
    <cfRule type="cellIs" dxfId="788" priority="192" operator="equal">
      <formula>"√"</formula>
    </cfRule>
  </conditionalFormatting>
  <conditionalFormatting sqref="L49">
    <cfRule type="cellIs" dxfId="787" priority="189" operator="equal">
      <formula>"未完成"</formula>
    </cfRule>
    <cfRule type="cellIs" dxfId="786" priority="190" operator="equal">
      <formula>"已完成"</formula>
    </cfRule>
  </conditionalFormatting>
  <conditionalFormatting sqref="N50:O50">
    <cfRule type="cellIs" dxfId="785" priority="187" operator="equal">
      <formula>"×"</formula>
    </cfRule>
    <cfRule type="cellIs" dxfId="784" priority="188" operator="equal">
      <formula>"√"</formula>
    </cfRule>
  </conditionalFormatting>
  <conditionalFormatting sqref="L50">
    <cfRule type="cellIs" dxfId="783" priority="185" operator="equal">
      <formula>"未完成"</formula>
    </cfRule>
    <cfRule type="cellIs" dxfId="782" priority="186" operator="equal">
      <formula>"已完成"</formula>
    </cfRule>
  </conditionalFormatting>
  <conditionalFormatting sqref="N51:O51">
    <cfRule type="cellIs" dxfId="781" priority="183" operator="equal">
      <formula>"×"</formula>
    </cfRule>
    <cfRule type="cellIs" dxfId="780" priority="184" operator="equal">
      <formula>"√"</formula>
    </cfRule>
  </conditionalFormatting>
  <conditionalFormatting sqref="L51">
    <cfRule type="cellIs" dxfId="779" priority="181" operator="equal">
      <formula>"未完成"</formula>
    </cfRule>
    <cfRule type="cellIs" dxfId="778" priority="182" operator="equal">
      <formula>"已完成"</formula>
    </cfRule>
  </conditionalFormatting>
  <conditionalFormatting sqref="N52:O52">
    <cfRule type="cellIs" dxfId="777" priority="179" operator="equal">
      <formula>"×"</formula>
    </cfRule>
    <cfRule type="cellIs" dxfId="776" priority="180" operator="equal">
      <formula>"√"</formula>
    </cfRule>
  </conditionalFormatting>
  <conditionalFormatting sqref="L52">
    <cfRule type="cellIs" dxfId="775" priority="177" operator="equal">
      <formula>"未完成"</formula>
    </cfRule>
    <cfRule type="cellIs" dxfId="774" priority="178" operator="equal">
      <formula>"已完成"</formula>
    </cfRule>
  </conditionalFormatting>
  <conditionalFormatting sqref="N53:O53">
    <cfRule type="cellIs" dxfId="773" priority="175" operator="equal">
      <formula>"×"</formula>
    </cfRule>
    <cfRule type="cellIs" dxfId="772" priority="176" operator="equal">
      <formula>"√"</formula>
    </cfRule>
  </conditionalFormatting>
  <conditionalFormatting sqref="L53">
    <cfRule type="cellIs" dxfId="771" priority="173" operator="equal">
      <formula>"未完成"</formula>
    </cfRule>
    <cfRule type="cellIs" dxfId="770" priority="174" operator="equal">
      <formula>"已完成"</formula>
    </cfRule>
  </conditionalFormatting>
  <conditionalFormatting sqref="N54:O54">
    <cfRule type="cellIs" dxfId="769" priority="171" operator="equal">
      <formula>"×"</formula>
    </cfRule>
    <cfRule type="cellIs" dxfId="768" priority="172" operator="equal">
      <formula>"√"</formula>
    </cfRule>
  </conditionalFormatting>
  <conditionalFormatting sqref="L54">
    <cfRule type="cellIs" dxfId="767" priority="169" operator="equal">
      <formula>"未完成"</formula>
    </cfRule>
    <cfRule type="cellIs" dxfId="766" priority="170" operator="equal">
      <formula>"已完成"</formula>
    </cfRule>
  </conditionalFormatting>
  <conditionalFormatting sqref="N55:O55">
    <cfRule type="cellIs" dxfId="765" priority="167" operator="equal">
      <formula>"×"</formula>
    </cfRule>
    <cfRule type="cellIs" dxfId="764" priority="168" operator="equal">
      <formula>"√"</formula>
    </cfRule>
  </conditionalFormatting>
  <conditionalFormatting sqref="L55">
    <cfRule type="cellIs" dxfId="763" priority="165" operator="equal">
      <formula>"未完成"</formula>
    </cfRule>
    <cfRule type="cellIs" dxfId="762" priority="166" operator="equal">
      <formula>"已完成"</formula>
    </cfRule>
  </conditionalFormatting>
  <conditionalFormatting sqref="N56:O56">
    <cfRule type="cellIs" dxfId="761" priority="163" operator="equal">
      <formula>"×"</formula>
    </cfRule>
    <cfRule type="cellIs" dxfId="760" priority="164" operator="equal">
      <formula>"√"</formula>
    </cfRule>
  </conditionalFormatting>
  <conditionalFormatting sqref="L56">
    <cfRule type="cellIs" dxfId="759" priority="161" operator="equal">
      <formula>"未完成"</formula>
    </cfRule>
    <cfRule type="cellIs" dxfId="758" priority="162" operator="equal">
      <formula>"已完成"</formula>
    </cfRule>
  </conditionalFormatting>
  <conditionalFormatting sqref="N57:O57">
    <cfRule type="cellIs" dxfId="757" priority="159" operator="equal">
      <formula>"×"</formula>
    </cfRule>
    <cfRule type="cellIs" dxfId="756" priority="160" operator="equal">
      <formula>"√"</formula>
    </cfRule>
  </conditionalFormatting>
  <conditionalFormatting sqref="L57">
    <cfRule type="cellIs" dxfId="755" priority="157" operator="equal">
      <formula>"未完成"</formula>
    </cfRule>
    <cfRule type="cellIs" dxfId="754" priority="158" operator="equal">
      <formula>"已完成"</formula>
    </cfRule>
  </conditionalFormatting>
  <conditionalFormatting sqref="N58:O58">
    <cfRule type="cellIs" dxfId="753" priority="155" operator="equal">
      <formula>"×"</formula>
    </cfRule>
    <cfRule type="cellIs" dxfId="752" priority="156" operator="equal">
      <formula>"√"</formula>
    </cfRule>
  </conditionalFormatting>
  <conditionalFormatting sqref="L58">
    <cfRule type="cellIs" dxfId="751" priority="153" operator="equal">
      <formula>"未完成"</formula>
    </cfRule>
    <cfRule type="cellIs" dxfId="750" priority="154" operator="equal">
      <formula>"已完成"</formula>
    </cfRule>
  </conditionalFormatting>
  <conditionalFormatting sqref="N59:O59">
    <cfRule type="cellIs" dxfId="749" priority="151" operator="equal">
      <formula>"×"</formula>
    </cfRule>
    <cfRule type="cellIs" dxfId="748" priority="152" operator="equal">
      <formula>"√"</formula>
    </cfRule>
  </conditionalFormatting>
  <conditionalFormatting sqref="L59">
    <cfRule type="cellIs" dxfId="747" priority="149" operator="equal">
      <formula>"未完成"</formula>
    </cfRule>
    <cfRule type="cellIs" dxfId="746" priority="150" operator="equal">
      <formula>"已完成"</formula>
    </cfRule>
  </conditionalFormatting>
  <conditionalFormatting sqref="N60:O60">
    <cfRule type="cellIs" dxfId="745" priority="147" operator="equal">
      <formula>"×"</formula>
    </cfRule>
    <cfRule type="cellIs" dxfId="744" priority="148" operator="equal">
      <formula>"√"</formula>
    </cfRule>
  </conditionalFormatting>
  <conditionalFormatting sqref="L60">
    <cfRule type="cellIs" dxfId="743" priority="145" operator="equal">
      <formula>"未完成"</formula>
    </cfRule>
    <cfRule type="cellIs" dxfId="742" priority="146" operator="equal">
      <formula>"已完成"</formula>
    </cfRule>
  </conditionalFormatting>
  <conditionalFormatting sqref="N61:O61">
    <cfRule type="cellIs" dxfId="741" priority="143" operator="equal">
      <formula>"×"</formula>
    </cfRule>
    <cfRule type="cellIs" dxfId="740" priority="144" operator="equal">
      <formula>"√"</formula>
    </cfRule>
  </conditionalFormatting>
  <conditionalFormatting sqref="L61">
    <cfRule type="cellIs" dxfId="739" priority="141" operator="equal">
      <formula>"未完成"</formula>
    </cfRule>
    <cfRule type="cellIs" dxfId="738" priority="142" operator="equal">
      <formula>"已完成"</formula>
    </cfRule>
  </conditionalFormatting>
  <conditionalFormatting sqref="N62:O62">
    <cfRule type="cellIs" dxfId="737" priority="139" operator="equal">
      <formula>"×"</formula>
    </cfRule>
    <cfRule type="cellIs" dxfId="736" priority="140" operator="equal">
      <formula>"√"</formula>
    </cfRule>
  </conditionalFormatting>
  <conditionalFormatting sqref="L62">
    <cfRule type="cellIs" dxfId="735" priority="137" operator="equal">
      <formula>"未完成"</formula>
    </cfRule>
    <cfRule type="cellIs" dxfId="734" priority="138" operator="equal">
      <formula>"已完成"</formula>
    </cfRule>
  </conditionalFormatting>
  <conditionalFormatting sqref="N63:O63">
    <cfRule type="cellIs" dxfId="733" priority="135" operator="equal">
      <formula>"×"</formula>
    </cfRule>
    <cfRule type="cellIs" dxfId="732" priority="136" operator="equal">
      <formula>"√"</formula>
    </cfRule>
  </conditionalFormatting>
  <conditionalFormatting sqref="L63">
    <cfRule type="cellIs" dxfId="731" priority="133" operator="equal">
      <formula>"未完成"</formula>
    </cfRule>
    <cfRule type="cellIs" dxfId="730" priority="134" operator="equal">
      <formula>"已完成"</formula>
    </cfRule>
  </conditionalFormatting>
  <conditionalFormatting sqref="N64:O64">
    <cfRule type="cellIs" dxfId="729" priority="131" operator="equal">
      <formula>"×"</formula>
    </cfRule>
    <cfRule type="cellIs" dxfId="728" priority="132" operator="equal">
      <formula>"√"</formula>
    </cfRule>
  </conditionalFormatting>
  <conditionalFormatting sqref="L64">
    <cfRule type="cellIs" dxfId="727" priority="129" operator="equal">
      <formula>"未完成"</formula>
    </cfRule>
    <cfRule type="cellIs" dxfId="726" priority="130" operator="equal">
      <formula>"已完成"</formula>
    </cfRule>
  </conditionalFormatting>
  <conditionalFormatting sqref="N65:O65">
    <cfRule type="cellIs" dxfId="725" priority="127" operator="equal">
      <formula>"×"</formula>
    </cfRule>
    <cfRule type="cellIs" dxfId="724" priority="128" operator="equal">
      <formula>"√"</formula>
    </cfRule>
  </conditionalFormatting>
  <conditionalFormatting sqref="L65">
    <cfRule type="cellIs" dxfId="723" priority="125" operator="equal">
      <formula>"未完成"</formula>
    </cfRule>
    <cfRule type="cellIs" dxfId="722" priority="126" operator="equal">
      <formula>"已完成"</formula>
    </cfRule>
  </conditionalFormatting>
  <conditionalFormatting sqref="N66:O66">
    <cfRule type="cellIs" dxfId="721" priority="123" operator="equal">
      <formula>"×"</formula>
    </cfRule>
    <cfRule type="cellIs" dxfId="720" priority="124" operator="equal">
      <formula>"√"</formula>
    </cfRule>
  </conditionalFormatting>
  <conditionalFormatting sqref="L66">
    <cfRule type="cellIs" dxfId="719" priority="121" operator="equal">
      <formula>"未完成"</formula>
    </cfRule>
    <cfRule type="cellIs" dxfId="718" priority="122" operator="equal">
      <formula>"已完成"</formula>
    </cfRule>
  </conditionalFormatting>
  <conditionalFormatting sqref="N67:O67">
    <cfRule type="cellIs" dxfId="717" priority="119" operator="equal">
      <formula>"×"</formula>
    </cfRule>
    <cfRule type="cellIs" dxfId="716" priority="120" operator="equal">
      <formula>"√"</formula>
    </cfRule>
  </conditionalFormatting>
  <conditionalFormatting sqref="L67">
    <cfRule type="cellIs" dxfId="715" priority="117" operator="equal">
      <formula>"未完成"</formula>
    </cfRule>
    <cfRule type="cellIs" dxfId="714" priority="118" operator="equal">
      <formula>"已完成"</formula>
    </cfRule>
  </conditionalFormatting>
  <conditionalFormatting sqref="N68:O68">
    <cfRule type="cellIs" dxfId="713" priority="115" operator="equal">
      <formula>"×"</formula>
    </cfRule>
    <cfRule type="cellIs" dxfId="712" priority="116" operator="equal">
      <formula>"√"</formula>
    </cfRule>
  </conditionalFormatting>
  <conditionalFormatting sqref="L68">
    <cfRule type="cellIs" dxfId="711" priority="113" operator="equal">
      <formula>"未完成"</formula>
    </cfRule>
    <cfRule type="cellIs" dxfId="710" priority="114" operator="equal">
      <formula>"已完成"</formula>
    </cfRule>
  </conditionalFormatting>
  <conditionalFormatting sqref="N69:O69">
    <cfRule type="cellIs" dxfId="709" priority="111" operator="equal">
      <formula>"×"</formula>
    </cfRule>
    <cfRule type="cellIs" dxfId="708" priority="112" operator="equal">
      <formula>"√"</formula>
    </cfRule>
  </conditionalFormatting>
  <conditionalFormatting sqref="L69">
    <cfRule type="cellIs" dxfId="707" priority="109" operator="equal">
      <formula>"未完成"</formula>
    </cfRule>
    <cfRule type="cellIs" dxfId="706" priority="110" operator="equal">
      <formula>"已完成"</formula>
    </cfRule>
  </conditionalFormatting>
  <conditionalFormatting sqref="N70:O70">
    <cfRule type="cellIs" dxfId="705" priority="107" operator="equal">
      <formula>"×"</formula>
    </cfRule>
    <cfRule type="cellIs" dxfId="704" priority="108" operator="equal">
      <formula>"√"</formula>
    </cfRule>
  </conditionalFormatting>
  <conditionalFormatting sqref="L70">
    <cfRule type="cellIs" dxfId="703" priority="105" operator="equal">
      <formula>"未完成"</formula>
    </cfRule>
    <cfRule type="cellIs" dxfId="702" priority="106" operator="equal">
      <formula>"已完成"</formula>
    </cfRule>
  </conditionalFormatting>
  <conditionalFormatting sqref="N71:O71">
    <cfRule type="cellIs" dxfId="701" priority="103" operator="equal">
      <formula>"×"</formula>
    </cfRule>
    <cfRule type="cellIs" dxfId="700" priority="104" operator="equal">
      <formula>"√"</formula>
    </cfRule>
  </conditionalFormatting>
  <conditionalFormatting sqref="L71">
    <cfRule type="cellIs" dxfId="699" priority="101" operator="equal">
      <formula>"未完成"</formula>
    </cfRule>
    <cfRule type="cellIs" dxfId="698" priority="102" operator="equal">
      <formula>"已完成"</formula>
    </cfRule>
  </conditionalFormatting>
  <conditionalFormatting sqref="N72:O72">
    <cfRule type="cellIs" dxfId="697" priority="99" operator="equal">
      <formula>"×"</formula>
    </cfRule>
    <cfRule type="cellIs" dxfId="696" priority="100" operator="equal">
      <formula>"√"</formula>
    </cfRule>
  </conditionalFormatting>
  <conditionalFormatting sqref="L72">
    <cfRule type="cellIs" dxfId="695" priority="97" operator="equal">
      <formula>"未完成"</formula>
    </cfRule>
    <cfRule type="cellIs" dxfId="694" priority="98" operator="equal">
      <formula>"已完成"</formula>
    </cfRule>
  </conditionalFormatting>
  <conditionalFormatting sqref="N73:O73">
    <cfRule type="cellIs" dxfId="693" priority="95" operator="equal">
      <formula>"×"</formula>
    </cfRule>
    <cfRule type="cellIs" dxfId="692" priority="96" operator="equal">
      <formula>"√"</formula>
    </cfRule>
  </conditionalFormatting>
  <conditionalFormatting sqref="L73">
    <cfRule type="cellIs" dxfId="691" priority="93" operator="equal">
      <formula>"未完成"</formula>
    </cfRule>
    <cfRule type="cellIs" dxfId="690" priority="94" operator="equal">
      <formula>"已完成"</formula>
    </cfRule>
  </conditionalFormatting>
  <conditionalFormatting sqref="N74:O74">
    <cfRule type="cellIs" dxfId="689" priority="91" operator="equal">
      <formula>"×"</formula>
    </cfRule>
    <cfRule type="cellIs" dxfId="688" priority="92" operator="equal">
      <formula>"√"</formula>
    </cfRule>
  </conditionalFormatting>
  <conditionalFormatting sqref="L74">
    <cfRule type="cellIs" dxfId="687" priority="89" operator="equal">
      <formula>"未完成"</formula>
    </cfRule>
    <cfRule type="cellIs" dxfId="686" priority="90" operator="equal">
      <formula>"已完成"</formula>
    </cfRule>
  </conditionalFormatting>
  <conditionalFormatting sqref="N75:O75">
    <cfRule type="cellIs" dxfId="685" priority="87" operator="equal">
      <formula>"×"</formula>
    </cfRule>
    <cfRule type="cellIs" dxfId="684" priority="88" operator="equal">
      <formula>"√"</formula>
    </cfRule>
  </conditionalFormatting>
  <conditionalFormatting sqref="L75">
    <cfRule type="cellIs" dxfId="683" priority="85" operator="equal">
      <formula>"未完成"</formula>
    </cfRule>
    <cfRule type="cellIs" dxfId="682" priority="86" operator="equal">
      <formula>"已完成"</formula>
    </cfRule>
  </conditionalFormatting>
  <conditionalFormatting sqref="N76:O76">
    <cfRule type="cellIs" dxfId="681" priority="83" operator="equal">
      <formula>"×"</formula>
    </cfRule>
    <cfRule type="cellIs" dxfId="680" priority="84" operator="equal">
      <formula>"√"</formula>
    </cfRule>
  </conditionalFormatting>
  <conditionalFormatting sqref="L76">
    <cfRule type="cellIs" dxfId="679" priority="81" operator="equal">
      <formula>"未完成"</formula>
    </cfRule>
    <cfRule type="cellIs" dxfId="678" priority="82" operator="equal">
      <formula>"已完成"</formula>
    </cfRule>
  </conditionalFormatting>
  <conditionalFormatting sqref="N77:O77">
    <cfRule type="cellIs" dxfId="677" priority="79" operator="equal">
      <formula>"×"</formula>
    </cfRule>
    <cfRule type="cellIs" dxfId="676" priority="80" operator="equal">
      <formula>"√"</formula>
    </cfRule>
  </conditionalFormatting>
  <conditionalFormatting sqref="L77">
    <cfRule type="cellIs" dxfId="675" priority="77" operator="equal">
      <formula>"未完成"</formula>
    </cfRule>
    <cfRule type="cellIs" dxfId="674" priority="78" operator="equal">
      <formula>"已完成"</formula>
    </cfRule>
  </conditionalFormatting>
  <conditionalFormatting sqref="N78:O78">
    <cfRule type="cellIs" dxfId="673" priority="75" operator="equal">
      <formula>"×"</formula>
    </cfRule>
    <cfRule type="cellIs" dxfId="672" priority="76" operator="equal">
      <formula>"√"</formula>
    </cfRule>
  </conditionalFormatting>
  <conditionalFormatting sqref="L78">
    <cfRule type="cellIs" dxfId="671" priority="73" operator="equal">
      <formula>"未完成"</formula>
    </cfRule>
    <cfRule type="cellIs" dxfId="670" priority="74" operator="equal">
      <formula>"已完成"</formula>
    </cfRule>
  </conditionalFormatting>
  <conditionalFormatting sqref="N79:O79">
    <cfRule type="cellIs" dxfId="669" priority="71" operator="equal">
      <formula>"×"</formula>
    </cfRule>
    <cfRule type="cellIs" dxfId="668" priority="72" operator="equal">
      <formula>"√"</formula>
    </cfRule>
  </conditionalFormatting>
  <conditionalFormatting sqref="L79">
    <cfRule type="cellIs" dxfId="667" priority="69" operator="equal">
      <formula>"未完成"</formula>
    </cfRule>
    <cfRule type="cellIs" dxfId="666" priority="70" operator="equal">
      <formula>"已完成"</formula>
    </cfRule>
  </conditionalFormatting>
  <conditionalFormatting sqref="N80:O80">
    <cfRule type="cellIs" dxfId="665" priority="67" operator="equal">
      <formula>"×"</formula>
    </cfRule>
    <cfRule type="cellIs" dxfId="664" priority="68" operator="equal">
      <formula>"√"</formula>
    </cfRule>
  </conditionalFormatting>
  <conditionalFormatting sqref="L80">
    <cfRule type="cellIs" dxfId="663" priority="65" operator="equal">
      <formula>"未完成"</formula>
    </cfRule>
    <cfRule type="cellIs" dxfId="662" priority="66" operator="equal">
      <formula>"已完成"</formula>
    </cfRule>
  </conditionalFormatting>
  <conditionalFormatting sqref="N81:O81">
    <cfRule type="cellIs" dxfId="661" priority="63" operator="equal">
      <formula>"×"</formula>
    </cfRule>
    <cfRule type="cellIs" dxfId="660" priority="64" operator="equal">
      <formula>"√"</formula>
    </cfRule>
  </conditionalFormatting>
  <conditionalFormatting sqref="L81">
    <cfRule type="cellIs" dxfId="659" priority="61" operator="equal">
      <formula>"未完成"</formula>
    </cfRule>
    <cfRule type="cellIs" dxfId="658" priority="62" operator="equal">
      <formula>"已完成"</formula>
    </cfRule>
  </conditionalFormatting>
  <conditionalFormatting sqref="N82:O82">
    <cfRule type="cellIs" dxfId="657" priority="59" operator="equal">
      <formula>"×"</formula>
    </cfRule>
    <cfRule type="cellIs" dxfId="656" priority="60" operator="equal">
      <formula>"√"</formula>
    </cfRule>
  </conditionalFormatting>
  <conditionalFormatting sqref="L82">
    <cfRule type="cellIs" dxfId="655" priority="57" operator="equal">
      <formula>"未完成"</formula>
    </cfRule>
    <cfRule type="cellIs" dxfId="654" priority="58" operator="equal">
      <formula>"已完成"</formula>
    </cfRule>
  </conditionalFormatting>
  <conditionalFormatting sqref="N83:O83">
    <cfRule type="cellIs" dxfId="653" priority="55" operator="equal">
      <formula>"×"</formula>
    </cfRule>
    <cfRule type="cellIs" dxfId="652" priority="56" operator="equal">
      <formula>"√"</formula>
    </cfRule>
  </conditionalFormatting>
  <conditionalFormatting sqref="L83">
    <cfRule type="cellIs" dxfId="651" priority="53" operator="equal">
      <formula>"未完成"</formula>
    </cfRule>
    <cfRule type="cellIs" dxfId="650" priority="54" operator="equal">
      <formula>"已完成"</formula>
    </cfRule>
  </conditionalFormatting>
  <conditionalFormatting sqref="N84:O84">
    <cfRule type="cellIs" dxfId="649" priority="51" operator="equal">
      <formula>"×"</formula>
    </cfRule>
    <cfRule type="cellIs" dxfId="648" priority="52" operator="equal">
      <formula>"√"</formula>
    </cfRule>
  </conditionalFormatting>
  <conditionalFormatting sqref="L84">
    <cfRule type="cellIs" dxfId="647" priority="49" operator="equal">
      <formula>"未完成"</formula>
    </cfRule>
    <cfRule type="cellIs" dxfId="646" priority="50" operator="equal">
      <formula>"已完成"</formula>
    </cfRule>
  </conditionalFormatting>
  <conditionalFormatting sqref="N85:O85">
    <cfRule type="cellIs" dxfId="645" priority="47" operator="equal">
      <formula>"×"</formula>
    </cfRule>
    <cfRule type="cellIs" dxfId="644" priority="48" operator="equal">
      <formula>"√"</formula>
    </cfRule>
  </conditionalFormatting>
  <conditionalFormatting sqref="L85">
    <cfRule type="cellIs" dxfId="643" priority="45" operator="equal">
      <formula>"未完成"</formula>
    </cfRule>
    <cfRule type="cellIs" dxfId="642" priority="46" operator="equal">
      <formula>"已完成"</formula>
    </cfRule>
  </conditionalFormatting>
  <conditionalFormatting sqref="N86:O86">
    <cfRule type="cellIs" dxfId="641" priority="43" operator="equal">
      <formula>"×"</formula>
    </cfRule>
    <cfRule type="cellIs" dxfId="640" priority="44" operator="equal">
      <formula>"√"</formula>
    </cfRule>
  </conditionalFormatting>
  <conditionalFormatting sqref="L86">
    <cfRule type="cellIs" dxfId="639" priority="41" operator="equal">
      <formula>"未完成"</formula>
    </cfRule>
    <cfRule type="cellIs" dxfId="638" priority="42" operator="equal">
      <formula>"已完成"</formula>
    </cfRule>
  </conditionalFormatting>
  <conditionalFormatting sqref="N87:O87">
    <cfRule type="cellIs" dxfId="637" priority="39" operator="equal">
      <formula>"×"</formula>
    </cfRule>
    <cfRule type="cellIs" dxfId="636" priority="40" operator="equal">
      <formula>"√"</formula>
    </cfRule>
  </conditionalFormatting>
  <conditionalFormatting sqref="L87">
    <cfRule type="cellIs" dxfId="635" priority="37" operator="equal">
      <formula>"未完成"</formula>
    </cfRule>
    <cfRule type="cellIs" dxfId="634" priority="38" operator="equal">
      <formula>"已完成"</formula>
    </cfRule>
  </conditionalFormatting>
  <conditionalFormatting sqref="N88:O88">
    <cfRule type="cellIs" dxfId="633" priority="35" operator="equal">
      <formula>"×"</formula>
    </cfRule>
    <cfRule type="cellIs" dxfId="632" priority="36" operator="equal">
      <formula>"√"</formula>
    </cfRule>
  </conditionalFormatting>
  <conditionalFormatting sqref="L88">
    <cfRule type="cellIs" dxfId="631" priority="33" operator="equal">
      <formula>"未完成"</formula>
    </cfRule>
    <cfRule type="cellIs" dxfId="630" priority="34" operator="equal">
      <formula>"已完成"</formula>
    </cfRule>
  </conditionalFormatting>
  <conditionalFormatting sqref="N89:O89">
    <cfRule type="cellIs" dxfId="629" priority="31" operator="equal">
      <formula>"×"</formula>
    </cfRule>
    <cfRule type="cellIs" dxfId="628" priority="32" operator="equal">
      <formula>"√"</formula>
    </cfRule>
  </conditionalFormatting>
  <conditionalFormatting sqref="L89">
    <cfRule type="cellIs" dxfId="627" priority="29" operator="equal">
      <formula>"未完成"</formula>
    </cfRule>
    <cfRule type="cellIs" dxfId="626" priority="30" operator="equal">
      <formula>"已完成"</formula>
    </cfRule>
  </conditionalFormatting>
  <conditionalFormatting sqref="N90:O90">
    <cfRule type="cellIs" dxfId="625" priority="27" operator="equal">
      <formula>"×"</formula>
    </cfRule>
    <cfRule type="cellIs" dxfId="624" priority="28" operator="equal">
      <formula>"√"</formula>
    </cfRule>
  </conditionalFormatting>
  <conditionalFormatting sqref="L90">
    <cfRule type="cellIs" dxfId="623" priority="25" operator="equal">
      <formula>"未完成"</formula>
    </cfRule>
    <cfRule type="cellIs" dxfId="622" priority="26" operator="equal">
      <formula>"已完成"</formula>
    </cfRule>
  </conditionalFormatting>
  <conditionalFormatting sqref="N91:O91">
    <cfRule type="cellIs" dxfId="621" priority="23" operator="equal">
      <formula>"×"</formula>
    </cfRule>
    <cfRule type="cellIs" dxfId="620" priority="24" operator="equal">
      <formula>"√"</formula>
    </cfRule>
  </conditionalFormatting>
  <conditionalFormatting sqref="L91">
    <cfRule type="cellIs" dxfId="619" priority="21" operator="equal">
      <formula>"未完成"</formula>
    </cfRule>
    <cfRule type="cellIs" dxfId="618" priority="22" operator="equal">
      <formula>"已完成"</formula>
    </cfRule>
  </conditionalFormatting>
  <conditionalFormatting sqref="N92:O92">
    <cfRule type="cellIs" dxfId="617" priority="19" operator="equal">
      <formula>"×"</formula>
    </cfRule>
    <cfRule type="cellIs" dxfId="616" priority="20" operator="equal">
      <formula>"√"</formula>
    </cfRule>
  </conditionalFormatting>
  <conditionalFormatting sqref="L92">
    <cfRule type="cellIs" dxfId="615" priority="17" operator="equal">
      <formula>"未完成"</formula>
    </cfRule>
    <cfRule type="cellIs" dxfId="614" priority="18" operator="equal">
      <formula>"已完成"</formula>
    </cfRule>
  </conditionalFormatting>
  <conditionalFormatting sqref="N29:O29">
    <cfRule type="cellIs" dxfId="613" priority="15" operator="equal">
      <formula>"×"</formula>
    </cfRule>
    <cfRule type="cellIs" dxfId="612" priority="16" operator="equal">
      <formula>"√"</formula>
    </cfRule>
  </conditionalFormatting>
  <conditionalFormatting sqref="L29">
    <cfRule type="cellIs" dxfId="611" priority="13" operator="equal">
      <formula>"未完成"</formula>
    </cfRule>
    <cfRule type="cellIs" dxfId="610" priority="14" operator="equal">
      <formula>"已完成"</formula>
    </cfRule>
  </conditionalFormatting>
  <conditionalFormatting sqref="L23">
    <cfRule type="cellIs" dxfId="609" priority="9" operator="equal">
      <formula>"未完成"</formula>
    </cfRule>
    <cfRule type="cellIs" dxfId="608" priority="10" operator="equal">
      <formula>"已完成"</formula>
    </cfRule>
  </conditionalFormatting>
  <conditionalFormatting sqref="D23">
    <cfRule type="cellIs" dxfId="607" priority="11" operator="equal">
      <formula>"×"</formula>
    </cfRule>
    <cfRule type="cellIs" dxfId="606" priority="12" operator="equal">
      <formula>"√"</formula>
    </cfRule>
  </conditionalFormatting>
  <conditionalFormatting sqref="D24:D25 N24:N25">
    <cfRule type="cellIs" dxfId="605" priority="7" operator="equal">
      <formula>"×"</formula>
    </cfRule>
    <cfRule type="cellIs" dxfId="604" priority="8" operator="equal">
      <formula>"√"</formula>
    </cfRule>
  </conditionalFormatting>
  <conditionalFormatting sqref="L24:L25">
    <cfRule type="cellIs" dxfId="603" priority="5" operator="equal">
      <formula>"未完成"</formula>
    </cfRule>
    <cfRule type="cellIs" dxfId="602" priority="6" operator="equal">
      <formula>"已完成"</formula>
    </cfRule>
  </conditionalFormatting>
  <conditionalFormatting sqref="D26 N26">
    <cfRule type="cellIs" dxfId="601" priority="3" operator="equal">
      <formula>"×"</formula>
    </cfRule>
    <cfRule type="cellIs" dxfId="600" priority="4" operator="equal">
      <formula>"√"</formula>
    </cfRule>
  </conditionalFormatting>
  <conditionalFormatting sqref="L26">
    <cfRule type="cellIs" dxfId="599" priority="1" operator="equal">
      <formula>"未完成"</formula>
    </cfRule>
    <cfRule type="cellIs" dxfId="598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96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D12" sqref="D12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195" t="str">
        <f ca="1">TEXT(SheetName,"yyyyy-mm-dd   aaaa")&amp;"     播 出 科 值 班 日 志"</f>
        <v>空白表     播 出 科 值 班 日 志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7"/>
    </row>
    <row r="2" spans="1:18" ht="24" customHeight="1" x14ac:dyDescent="0.5">
      <c r="A2" s="77"/>
      <c r="B2" s="198" t="s">
        <v>56</v>
      </c>
      <c r="C2" s="199"/>
      <c r="D2" s="78" t="s">
        <v>103</v>
      </c>
      <c r="E2" s="198" t="s">
        <v>44</v>
      </c>
      <c r="F2" s="199"/>
      <c r="G2" s="200"/>
      <c r="H2" s="201"/>
      <c r="I2" s="202"/>
      <c r="J2" s="203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204" t="s">
        <v>9</v>
      </c>
      <c r="C3" s="206" t="s">
        <v>10</v>
      </c>
      <c r="D3" s="204" t="s">
        <v>11</v>
      </c>
      <c r="E3" s="208" t="s">
        <v>17</v>
      </c>
      <c r="F3" s="209"/>
      <c r="G3" s="208" t="s">
        <v>53</v>
      </c>
      <c r="H3" s="209"/>
      <c r="I3" s="204" t="s">
        <v>57</v>
      </c>
      <c r="J3" s="210" t="s">
        <v>8</v>
      </c>
      <c r="K3" s="211"/>
      <c r="L3" s="212" t="s">
        <v>14</v>
      </c>
      <c r="M3" s="84"/>
      <c r="N3" s="214" t="s">
        <v>97</v>
      </c>
      <c r="O3" s="216" t="s">
        <v>57</v>
      </c>
      <c r="P3" s="217"/>
      <c r="Q3" s="193" t="s">
        <v>16</v>
      </c>
    </row>
    <row r="4" spans="1:18" s="10" customFormat="1" ht="16.05" customHeight="1" x14ac:dyDescent="0.45">
      <c r="A4" s="85"/>
      <c r="B4" s="205"/>
      <c r="C4" s="207"/>
      <c r="D4" s="205"/>
      <c r="E4" s="86" t="s">
        <v>54</v>
      </c>
      <c r="F4" s="86" t="s">
        <v>55</v>
      </c>
      <c r="G4" s="87" t="s">
        <v>12</v>
      </c>
      <c r="H4" s="88" t="s">
        <v>13</v>
      </c>
      <c r="I4" s="205"/>
      <c r="J4" s="108" t="s">
        <v>12</v>
      </c>
      <c r="K4" s="108" t="s">
        <v>13</v>
      </c>
      <c r="L4" s="213"/>
      <c r="M4" s="89" t="s">
        <v>15</v>
      </c>
      <c r="N4" s="215"/>
      <c r="O4" s="218"/>
      <c r="P4" s="219"/>
      <c r="Q4" s="194"/>
    </row>
    <row r="5" spans="1:18" s="10" customFormat="1" ht="20" customHeight="1" x14ac:dyDescent="0.5">
      <c r="A5" s="146"/>
      <c r="B5" s="252" t="s">
        <v>96</v>
      </c>
      <c r="C5" s="253"/>
      <c r="D5" s="254"/>
      <c r="E5" s="147">
        <v>6.9444444444444447E-4</v>
      </c>
      <c r="F5" s="148">
        <v>4.1666666666666664E-2</v>
      </c>
      <c r="G5" s="250" t="str">
        <f>IF(L5="","",IF(G5="",$G$2,G5))</f>
        <v/>
      </c>
      <c r="H5" s="251"/>
      <c r="I5" s="250" t="str">
        <f ca="1">IF(L5="","",IF(I5="",TEXT(NOW(),"yyyy-mm-dd h:mm:ss"),I5))</f>
        <v/>
      </c>
      <c r="J5" s="255"/>
      <c r="K5" s="251"/>
      <c r="L5" s="33"/>
      <c r="M5" s="45" t="str">
        <f t="shared" ref="M5:M19" ca="1" si="0">IF(M5=0,"",IF(L5&lt;&gt;M5,L5,M5))</f>
        <v/>
      </c>
      <c r="N5" s="140" t="str">
        <f>IF(L5="未完成","×",IF(L5="已完成","√",""))</f>
        <v/>
      </c>
      <c r="O5" s="240" t="str">
        <f>IF(L5="","",IF(AND(TEXT(I5,"yyyymmddhhmmss")&gt;TEXT(SheetName,"yyyymmdd")&amp;TEXT(E5,"hhmmss"),TEXT(I5,"yyyymmddhhmmss")&lt;TEXT(SheetName,"yyyymmdd")&amp;TEXT(F5,"hhmmss")),"","超  时"))</f>
        <v/>
      </c>
      <c r="P5" s="241"/>
      <c r="Q5" s="141"/>
    </row>
    <row r="6" spans="1:18" s="8" customFormat="1" ht="20" customHeight="1" x14ac:dyDescent="0.5">
      <c r="A6" s="138"/>
      <c r="B6" s="149">
        <v>1</v>
      </c>
      <c r="C6" s="135" t="s">
        <v>48</v>
      </c>
      <c r="D6" s="150" t="s">
        <v>125</v>
      </c>
      <c r="E6" s="147">
        <v>6.9444444444444447E-4</v>
      </c>
      <c r="F6" s="148">
        <v>0.29166666666666669</v>
      </c>
      <c r="G6" s="135" t="str">
        <f t="shared" ref="G6" si="1">IF(L6="","",IF(G6="",$G$2,G6))</f>
        <v/>
      </c>
      <c r="H6" s="135" t="str">
        <f t="shared" ref="H6" ca="1" si="2">IF(L6="","",IF(H6="",TEXT(NOW(),"yyyy-mm-dd h:mm:ss"),H6))</f>
        <v/>
      </c>
      <c r="I6" s="151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135" t="str">
        <f t="shared" ref="J6" si="4">IF(L6 ="","",IF(L6&lt;&gt;M6,$G$2,J6))</f>
        <v/>
      </c>
      <c r="K6" s="135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42" t="str">
        <f t="shared" ref="N6" si="7">IF(L6="未完成","×",IF(L6="已完成","√",""))</f>
        <v/>
      </c>
      <c r="O6" s="240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41"/>
      <c r="Q6" s="143"/>
    </row>
    <row r="7" spans="1:18" s="8" customFormat="1" ht="20" customHeight="1" x14ac:dyDescent="0.5">
      <c r="A7" s="138"/>
      <c r="B7" s="149">
        <v>2</v>
      </c>
      <c r="C7" s="135" t="s">
        <v>48</v>
      </c>
      <c r="D7" s="150" t="s">
        <v>150</v>
      </c>
      <c r="E7" s="147">
        <v>6.9444444444444447E-4</v>
      </c>
      <c r="F7" s="148">
        <v>0.29166666666666669</v>
      </c>
      <c r="G7" s="135" t="str">
        <f t="shared" ref="G7" si="9">IF(L7="","",IF(G7="",$G$2,G7))</f>
        <v/>
      </c>
      <c r="H7" s="135" t="str">
        <f t="shared" ref="H7" ca="1" si="10">IF(L7="","",IF(H7="",TEXT(NOW(),"yyyy-mm-dd h:mm:ss"),H7))</f>
        <v/>
      </c>
      <c r="I7" s="151" t="str">
        <f t="shared" ref="I7" si="11">IF(L7="","",IF(AND(TEXT(H7,"yyyymmddhhmmss")&gt;TEXT(SheetName,"yyyymmdd")&amp;TEXT(E7,"hhmmss"),TEXT(H7,"yyyymmddhhmmss")&lt;TEXT(SheetName,"yyyymmdd")&amp;TEXT(F7,"hhmmss")),"","超  时"))</f>
        <v/>
      </c>
      <c r="J7" s="135" t="str">
        <f t="shared" ref="J7" si="12">IF(L7 ="","",IF(L7&lt;&gt;M7,$G$2,J7))</f>
        <v/>
      </c>
      <c r="K7" s="135" t="str">
        <f t="shared" ref="K7" ca="1" si="13">IF(L7 = "","",IF(L7&lt;&gt;M7,TEXT(NOW(),"yyyy-mm-dd h:mm:ss"),K7))</f>
        <v/>
      </c>
      <c r="L7" s="18"/>
      <c r="M7" s="5" t="str">
        <f t="shared" ref="M7" ca="1" si="14">IF(M7=0,"",IF(L7&lt;&gt;M7,L7,M7))</f>
        <v/>
      </c>
      <c r="N7" s="142" t="str">
        <f t="shared" ref="N7" si="15">IF(L7="未完成","×",IF(L7="已完成","√",""))</f>
        <v/>
      </c>
      <c r="O7" s="240" t="str">
        <f t="shared" ref="O7" si="16">IF(L7="","",IF(AND(TEXT(K7,"yyyymmddhhmmss")&gt;TEXT(SheetName,"yyyymmdd")&amp;TEXT(E7,"hhmmss"),TEXT(K7,"yyyymmddhhmmss")&lt;TEXT(SheetName,"yyyymmdd")&amp;TEXT(F7,"hhmmss")),"","超  时"))</f>
        <v/>
      </c>
      <c r="P7" s="241"/>
      <c r="Q7" s="143"/>
    </row>
    <row r="8" spans="1:18" s="8" customFormat="1" ht="19.899999999999999" customHeight="1" x14ac:dyDescent="0.5">
      <c r="A8" s="138"/>
      <c r="B8" s="149">
        <v>3</v>
      </c>
      <c r="C8" s="135" t="s">
        <v>48</v>
      </c>
      <c r="D8" s="150" t="s">
        <v>18</v>
      </c>
      <c r="E8" s="147">
        <v>6.9444444444444447E-4</v>
      </c>
      <c r="F8" s="148">
        <v>0.29166666666666669</v>
      </c>
      <c r="G8" s="135" t="str">
        <f t="shared" ref="G8:G19" si="17">IF(L8="","",IF(G8="",$G$2,G8))</f>
        <v/>
      </c>
      <c r="H8" s="135" t="str">
        <f t="shared" ref="H8:H19" ca="1" si="18">IF(L8="","",IF(H8="",TEXT(NOW(),"yyyy-mm-dd h:mm:ss"),H8))</f>
        <v/>
      </c>
      <c r="I8" s="151" t="str">
        <f t="shared" ref="I8:I19" si="19">IF(L8="","",IF(AND(TEXT(H8,"yyyymmddhhmmss")&gt;TEXT(SheetName,"yyyymmdd")&amp;TEXT(E8,"hhmmss"),TEXT(H8,"yyyymmddhhmmss")&lt;TEXT(SheetName,"yyyymmdd")&amp;TEXT(F8,"hhmmss")),"","超  时"))</f>
        <v/>
      </c>
      <c r="J8" s="135" t="str">
        <f t="shared" ref="J8:J19" si="20">IF(L8 ="","",IF(L8&lt;&gt;M8,$G$2,J8))</f>
        <v/>
      </c>
      <c r="K8" s="135" t="str">
        <f t="shared" ref="K8:K19" ca="1" si="21">IF(L8 = "","",IF(L8&lt;&gt;M8,TEXT(NOW(),"yyyy-mm-dd h:mm:ss"),K8))</f>
        <v/>
      </c>
      <c r="L8" s="18"/>
      <c r="M8" s="5" t="str">
        <f t="shared" ca="1" si="0"/>
        <v/>
      </c>
      <c r="N8" s="142" t="str">
        <f t="shared" ref="N8:N19" si="22">IF(L8="未完成","×",IF(L8="已完成","√",""))</f>
        <v/>
      </c>
      <c r="O8" s="240" t="str">
        <f t="shared" ref="O8:O19" si="23">IF(L8="","",IF(AND(TEXT(K8,"yyyymmddhhmmss")&gt;TEXT(SheetName,"yyyymmdd")&amp;TEXT(E8,"hhmmss"),TEXT(K8,"yyyymmddhhmmss")&lt;TEXT(SheetName,"yyyymmdd")&amp;TEXT(F8,"hhmmss")),"","超  时"))</f>
        <v/>
      </c>
      <c r="P8" s="241"/>
      <c r="Q8" s="143"/>
    </row>
    <row r="9" spans="1:18" s="2" customFormat="1" ht="20" customHeight="1" x14ac:dyDescent="0.5">
      <c r="A9" s="138"/>
      <c r="B9" s="149">
        <v>4</v>
      </c>
      <c r="C9" s="135" t="s">
        <v>48</v>
      </c>
      <c r="D9" s="150" t="s">
        <v>104</v>
      </c>
      <c r="E9" s="147">
        <v>6.9444444444444447E-4</v>
      </c>
      <c r="F9" s="148">
        <v>0.29166666666666669</v>
      </c>
      <c r="G9" s="135" t="str">
        <f t="shared" si="17"/>
        <v/>
      </c>
      <c r="H9" s="135" t="str">
        <f t="shared" ca="1" si="18"/>
        <v/>
      </c>
      <c r="I9" s="151" t="str">
        <f t="shared" si="19"/>
        <v/>
      </c>
      <c r="J9" s="135" t="str">
        <f t="shared" si="20"/>
        <v/>
      </c>
      <c r="K9" s="135" t="str">
        <f t="shared" ca="1" si="21"/>
        <v/>
      </c>
      <c r="L9" s="18"/>
      <c r="M9" s="5" t="str">
        <f t="shared" ca="1" si="0"/>
        <v/>
      </c>
      <c r="N9" s="142" t="str">
        <f t="shared" si="22"/>
        <v/>
      </c>
      <c r="O9" s="240" t="str">
        <f t="shared" si="23"/>
        <v/>
      </c>
      <c r="P9" s="241"/>
      <c r="Q9" s="143"/>
      <c r="R9" s="8"/>
    </row>
    <row r="10" spans="1:18" s="2" customFormat="1" ht="20" customHeight="1" x14ac:dyDescent="0.5">
      <c r="A10" s="138"/>
      <c r="B10" s="149">
        <v>5</v>
      </c>
      <c r="C10" s="135" t="s">
        <v>48</v>
      </c>
      <c r="D10" s="150" t="s">
        <v>105</v>
      </c>
      <c r="E10" s="147">
        <v>6.9444444444444447E-4</v>
      </c>
      <c r="F10" s="148">
        <v>0.29166666666666669</v>
      </c>
      <c r="G10" s="135" t="str">
        <f t="shared" si="17"/>
        <v/>
      </c>
      <c r="H10" s="135" t="str">
        <f t="shared" ca="1" si="18"/>
        <v/>
      </c>
      <c r="I10" s="151" t="str">
        <f t="shared" si="19"/>
        <v/>
      </c>
      <c r="J10" s="135" t="str">
        <f t="shared" si="20"/>
        <v/>
      </c>
      <c r="K10" s="135" t="str">
        <f t="shared" ca="1" si="21"/>
        <v/>
      </c>
      <c r="L10" s="18"/>
      <c r="M10" s="5" t="str">
        <f t="shared" ca="1" si="0"/>
        <v/>
      </c>
      <c r="N10" s="142" t="str">
        <f t="shared" si="22"/>
        <v/>
      </c>
      <c r="O10" s="240" t="str">
        <f t="shared" si="23"/>
        <v/>
      </c>
      <c r="P10" s="241"/>
      <c r="Q10" s="144"/>
      <c r="R10" s="8"/>
    </row>
    <row r="11" spans="1:18" s="2" customFormat="1" ht="20" customHeight="1" x14ac:dyDescent="0.5">
      <c r="A11" s="138"/>
      <c r="B11" s="149">
        <v>6</v>
      </c>
      <c r="C11" s="135" t="s">
        <v>48</v>
      </c>
      <c r="D11" s="150" t="s">
        <v>19</v>
      </c>
      <c r="E11" s="147">
        <v>6.9444444444444447E-4</v>
      </c>
      <c r="F11" s="148">
        <v>0.29166666666666669</v>
      </c>
      <c r="G11" s="135" t="str">
        <f t="shared" si="17"/>
        <v/>
      </c>
      <c r="H11" s="135" t="str">
        <f t="shared" ca="1" si="18"/>
        <v/>
      </c>
      <c r="I11" s="151" t="str">
        <f t="shared" si="19"/>
        <v/>
      </c>
      <c r="J11" s="135" t="str">
        <f t="shared" si="20"/>
        <v/>
      </c>
      <c r="K11" s="135" t="str">
        <f ca="1">IF(L11 = "","",IF(L11&lt;&gt;M11,TEXT(NOW(),"yyyy-mm-dd h:mm:ss"),K11))</f>
        <v/>
      </c>
      <c r="L11" s="18"/>
      <c r="M11" s="5" t="str">
        <f t="shared" ca="1" si="0"/>
        <v/>
      </c>
      <c r="N11" s="142" t="str">
        <f t="shared" si="22"/>
        <v/>
      </c>
      <c r="O11" s="240" t="str">
        <f t="shared" si="23"/>
        <v/>
      </c>
      <c r="P11" s="241"/>
      <c r="Q11" s="145"/>
      <c r="R11" s="8"/>
    </row>
    <row r="12" spans="1:18" s="2" customFormat="1" ht="20" customHeight="1" x14ac:dyDescent="0.5">
      <c r="A12" s="152" t="s">
        <v>149</v>
      </c>
      <c r="B12" s="149">
        <v>7</v>
      </c>
      <c r="C12" s="135" t="s">
        <v>48</v>
      </c>
      <c r="D12" s="150" t="s">
        <v>20</v>
      </c>
      <c r="E12" s="147">
        <v>6.9444444444444447E-4</v>
      </c>
      <c r="F12" s="148">
        <v>0.29166666666666669</v>
      </c>
      <c r="G12" s="135" t="str">
        <f t="shared" si="17"/>
        <v/>
      </c>
      <c r="H12" s="135" t="str">
        <f t="shared" ca="1" si="18"/>
        <v/>
      </c>
      <c r="I12" s="151" t="str">
        <f t="shared" si="19"/>
        <v/>
      </c>
      <c r="J12" s="135" t="str">
        <f t="shared" si="20"/>
        <v/>
      </c>
      <c r="K12" s="135" t="str">
        <f t="shared" ca="1" si="21"/>
        <v/>
      </c>
      <c r="L12" s="18"/>
      <c r="M12" s="5" t="str">
        <f t="shared" ca="1" si="0"/>
        <v/>
      </c>
      <c r="N12" s="142" t="str">
        <f t="shared" si="22"/>
        <v/>
      </c>
      <c r="O12" s="240" t="str">
        <f t="shared" si="23"/>
        <v/>
      </c>
      <c r="P12" s="241"/>
      <c r="Q12" s="141"/>
      <c r="R12" s="8"/>
    </row>
    <row r="13" spans="1:18" s="2" customFormat="1" ht="20" customHeight="1" x14ac:dyDescent="0.5">
      <c r="A13" s="152"/>
      <c r="B13" s="149">
        <v>8</v>
      </c>
      <c r="C13" s="135" t="s">
        <v>48</v>
      </c>
      <c r="D13" s="150" t="s">
        <v>21</v>
      </c>
      <c r="E13" s="147">
        <v>6.9444444444444447E-4</v>
      </c>
      <c r="F13" s="148">
        <v>0.29166666666666669</v>
      </c>
      <c r="G13" s="135" t="str">
        <f t="shared" si="17"/>
        <v/>
      </c>
      <c r="H13" s="135" t="str">
        <f t="shared" ca="1" si="18"/>
        <v/>
      </c>
      <c r="I13" s="151" t="str">
        <f t="shared" si="19"/>
        <v/>
      </c>
      <c r="J13" s="135" t="str">
        <f t="shared" si="20"/>
        <v/>
      </c>
      <c r="K13" s="135" t="str">
        <f t="shared" ca="1" si="21"/>
        <v/>
      </c>
      <c r="L13" s="18"/>
      <c r="M13" s="5" t="str">
        <f t="shared" ca="1" si="0"/>
        <v/>
      </c>
      <c r="N13" s="142" t="str">
        <f t="shared" si="22"/>
        <v/>
      </c>
      <c r="O13" s="240" t="str">
        <f t="shared" si="23"/>
        <v/>
      </c>
      <c r="P13" s="241"/>
      <c r="Q13" s="141"/>
      <c r="R13" s="8"/>
    </row>
    <row r="14" spans="1:18" s="2" customFormat="1" ht="20" customHeight="1" x14ac:dyDescent="0.5">
      <c r="A14" s="152"/>
      <c r="B14" s="149">
        <v>9</v>
      </c>
      <c r="C14" s="135" t="s">
        <v>48</v>
      </c>
      <c r="D14" s="150" t="s">
        <v>22</v>
      </c>
      <c r="E14" s="147">
        <v>6.9444444444444447E-4</v>
      </c>
      <c r="F14" s="148">
        <v>0.29166666666666669</v>
      </c>
      <c r="G14" s="135" t="str">
        <f t="shared" si="17"/>
        <v/>
      </c>
      <c r="H14" s="135" t="str">
        <f t="shared" ca="1" si="18"/>
        <v/>
      </c>
      <c r="I14" s="151" t="str">
        <f t="shared" si="19"/>
        <v/>
      </c>
      <c r="J14" s="135" t="str">
        <f t="shared" si="20"/>
        <v/>
      </c>
      <c r="K14" s="135" t="str">
        <f t="shared" ca="1" si="21"/>
        <v/>
      </c>
      <c r="L14" s="18"/>
      <c r="M14" s="5" t="str">
        <f t="shared" ca="1" si="0"/>
        <v/>
      </c>
      <c r="N14" s="142" t="str">
        <f t="shared" si="22"/>
        <v/>
      </c>
      <c r="O14" s="240" t="str">
        <f t="shared" si="23"/>
        <v/>
      </c>
      <c r="P14" s="241"/>
      <c r="Q14" s="141"/>
      <c r="R14" s="8"/>
    </row>
    <row r="15" spans="1:18" s="2" customFormat="1" ht="20" customHeight="1" x14ac:dyDescent="0.5">
      <c r="A15" s="152"/>
      <c r="B15" s="149">
        <v>10</v>
      </c>
      <c r="C15" s="135" t="s">
        <v>48</v>
      </c>
      <c r="D15" s="150" t="s">
        <v>106</v>
      </c>
      <c r="E15" s="147">
        <v>6.9444444444444447E-4</v>
      </c>
      <c r="F15" s="148">
        <v>0.29166666666666669</v>
      </c>
      <c r="G15" s="135" t="str">
        <f t="shared" si="17"/>
        <v/>
      </c>
      <c r="H15" s="135" t="str">
        <f t="shared" ca="1" si="18"/>
        <v/>
      </c>
      <c r="I15" s="151" t="str">
        <f t="shared" si="19"/>
        <v/>
      </c>
      <c r="J15" s="135" t="str">
        <f t="shared" si="20"/>
        <v/>
      </c>
      <c r="K15" s="135" t="str">
        <f t="shared" ca="1" si="21"/>
        <v/>
      </c>
      <c r="L15" s="18"/>
      <c r="M15" s="5" t="str">
        <f t="shared" ca="1" si="0"/>
        <v/>
      </c>
      <c r="N15" s="142" t="str">
        <f t="shared" si="22"/>
        <v/>
      </c>
      <c r="O15" s="240" t="str">
        <f t="shared" si="23"/>
        <v/>
      </c>
      <c r="P15" s="241"/>
      <c r="Q15" s="141"/>
      <c r="R15" s="8" t="s">
        <v>52</v>
      </c>
    </row>
    <row r="16" spans="1:18" s="2" customFormat="1" ht="20" customHeight="1" x14ac:dyDescent="0.5">
      <c r="A16" s="152"/>
      <c r="B16" s="149">
        <v>11</v>
      </c>
      <c r="C16" s="135" t="s">
        <v>48</v>
      </c>
      <c r="D16" s="150" t="s">
        <v>126</v>
      </c>
      <c r="E16" s="147">
        <v>6.9444444444444447E-4</v>
      </c>
      <c r="F16" s="148">
        <v>0.29166666666666669</v>
      </c>
      <c r="G16" s="135" t="str">
        <f t="shared" ref="G16" si="24">IF(L16="","",IF(G16="",$G$2,G16))</f>
        <v/>
      </c>
      <c r="H16" s="135" t="str">
        <f t="shared" ref="H16" ca="1" si="25">IF(L16="","",IF(H16="",TEXT(NOW(),"yyyy-mm-dd h:mm:ss"),H16))</f>
        <v/>
      </c>
      <c r="I16" s="151" t="str">
        <f t="shared" ref="I16" si="26">IF(L16="","",IF(AND(TEXT(H16,"yyyymmddhhmmss")&gt;TEXT(SheetName,"yyyymmdd")&amp;TEXT(E16,"hhmmss"),TEXT(H16,"yyyymmddhhmmss")&lt;TEXT(SheetName,"yyyymmdd")&amp;TEXT(F16,"hhmmss")),"","超  时"))</f>
        <v/>
      </c>
      <c r="J16" s="135" t="str">
        <f t="shared" ref="J16" si="27">IF(L16 ="","",IF(L16&lt;&gt;M16,$G$2,J16))</f>
        <v/>
      </c>
      <c r="K16" s="135" t="str">
        <f t="shared" ref="K16" ca="1" si="28">IF(L16 = "","",IF(L16&lt;&gt;M16,TEXT(NOW(),"yyyy-mm-dd h:mm:ss"),K16))</f>
        <v/>
      </c>
      <c r="L16" s="18"/>
      <c r="M16" s="5" t="str">
        <f t="shared" ref="M16" ca="1" si="29">IF(M16=0,"",IF(L16&lt;&gt;M16,L16,M16))</f>
        <v/>
      </c>
      <c r="N16" s="142" t="str">
        <f t="shared" ref="N16" si="30">IF(L16="未完成","×",IF(L16="已完成","√",""))</f>
        <v/>
      </c>
      <c r="O16" s="240" t="str">
        <f t="shared" ref="O16" si="31">IF(L16="","",IF(AND(TEXT(K16,"yyyymmddhhmmss")&gt;TEXT(SheetName,"yyyymmdd")&amp;TEXT(E16,"hhmmss"),TEXT(K16,"yyyymmddhhmmss")&lt;TEXT(SheetName,"yyyymmdd")&amp;TEXT(F16,"hhmmss")),"","超  时"))</f>
        <v/>
      </c>
      <c r="P16" s="241"/>
      <c r="Q16" s="141"/>
      <c r="R16" s="8" t="s">
        <v>52</v>
      </c>
    </row>
    <row r="17" spans="1:18" s="2" customFormat="1" ht="20" customHeight="1" x14ac:dyDescent="0.5">
      <c r="A17" s="138"/>
      <c r="B17" s="149">
        <v>12</v>
      </c>
      <c r="C17" s="135" t="s">
        <v>49</v>
      </c>
      <c r="D17" s="150" t="s">
        <v>152</v>
      </c>
      <c r="E17" s="147">
        <v>6.9444444444444447E-4</v>
      </c>
      <c r="F17" s="148">
        <v>0.29166666666666669</v>
      </c>
      <c r="G17" s="135" t="str">
        <f t="shared" si="17"/>
        <v/>
      </c>
      <c r="H17" s="135" t="str">
        <f t="shared" ca="1" si="18"/>
        <v/>
      </c>
      <c r="I17" s="151" t="str">
        <f t="shared" si="19"/>
        <v/>
      </c>
      <c r="J17" s="135" t="str">
        <f t="shared" si="20"/>
        <v/>
      </c>
      <c r="K17" s="135" t="str">
        <f t="shared" ca="1" si="21"/>
        <v/>
      </c>
      <c r="L17" s="18"/>
      <c r="M17" s="5" t="str">
        <f t="shared" ca="1" si="0"/>
        <v/>
      </c>
      <c r="N17" s="142" t="str">
        <f t="shared" si="22"/>
        <v/>
      </c>
      <c r="O17" s="240" t="str">
        <f t="shared" si="23"/>
        <v/>
      </c>
      <c r="P17" s="241"/>
      <c r="Q17" s="141"/>
      <c r="R17" s="8"/>
    </row>
    <row r="18" spans="1:18" s="2" customFormat="1" ht="20" customHeight="1" x14ac:dyDescent="0.5">
      <c r="A18" s="138"/>
      <c r="B18" s="149">
        <v>13</v>
      </c>
      <c r="C18" s="135" t="s">
        <v>49</v>
      </c>
      <c r="D18" s="150" t="s">
        <v>151</v>
      </c>
      <c r="E18" s="147">
        <v>6.9444444444444447E-4</v>
      </c>
      <c r="F18" s="148">
        <v>0.29166666666666669</v>
      </c>
      <c r="G18" s="135" t="str">
        <f t="shared" si="17"/>
        <v/>
      </c>
      <c r="H18" s="135" t="str">
        <f t="shared" ca="1" si="18"/>
        <v/>
      </c>
      <c r="I18" s="151" t="str">
        <f t="shared" si="19"/>
        <v/>
      </c>
      <c r="J18" s="135" t="str">
        <f t="shared" si="20"/>
        <v/>
      </c>
      <c r="K18" s="135" t="str">
        <f t="shared" ca="1" si="21"/>
        <v/>
      </c>
      <c r="L18" s="18"/>
      <c r="M18" s="5" t="str">
        <f t="shared" ca="1" si="0"/>
        <v/>
      </c>
      <c r="N18" s="142" t="str">
        <f t="shared" si="22"/>
        <v/>
      </c>
      <c r="O18" s="240" t="str">
        <f t="shared" si="23"/>
        <v/>
      </c>
      <c r="P18" s="241"/>
      <c r="Q18" s="141"/>
      <c r="R18" s="8"/>
    </row>
    <row r="19" spans="1:18" s="2" customFormat="1" ht="19.899999999999999" customHeight="1" x14ac:dyDescent="0.5">
      <c r="A19" s="138"/>
      <c r="B19" s="149">
        <v>14</v>
      </c>
      <c r="C19" s="135" t="s">
        <v>107</v>
      </c>
      <c r="D19" s="150" t="s">
        <v>153</v>
      </c>
      <c r="E19" s="147">
        <v>6.9444444444444447E-4</v>
      </c>
      <c r="F19" s="148">
        <v>4.1666666666666664E-2</v>
      </c>
      <c r="G19" s="135" t="str">
        <f t="shared" si="17"/>
        <v/>
      </c>
      <c r="H19" s="135" t="str">
        <f t="shared" ca="1" si="18"/>
        <v/>
      </c>
      <c r="I19" s="151" t="str">
        <f t="shared" si="19"/>
        <v/>
      </c>
      <c r="J19" s="135" t="str">
        <f t="shared" si="20"/>
        <v/>
      </c>
      <c r="K19" s="135" t="str">
        <f t="shared" ca="1" si="21"/>
        <v/>
      </c>
      <c r="L19" s="18"/>
      <c r="M19" s="5" t="str">
        <f t="shared" ca="1" si="0"/>
        <v/>
      </c>
      <c r="N19" s="142" t="str">
        <f t="shared" si="22"/>
        <v/>
      </c>
      <c r="O19" s="240" t="str">
        <f t="shared" si="23"/>
        <v/>
      </c>
      <c r="P19" s="241"/>
      <c r="Q19" s="141"/>
      <c r="R19" s="8"/>
    </row>
    <row r="20" spans="1:18" s="2" customFormat="1" ht="20" customHeight="1" x14ac:dyDescent="0.5">
      <c r="A20" s="138"/>
      <c r="B20" s="178" t="s">
        <v>80</v>
      </c>
      <c r="C20" s="179"/>
      <c r="D20" s="46" t="s">
        <v>77</v>
      </c>
      <c r="E20" s="180" t="s">
        <v>73</v>
      </c>
      <c r="F20" s="181"/>
      <c r="G20" s="90" t="s">
        <v>74</v>
      </c>
      <c r="H20" s="180" t="s">
        <v>78</v>
      </c>
      <c r="I20" s="181"/>
      <c r="J20" s="90" t="s">
        <v>79</v>
      </c>
      <c r="K20" s="107" t="s">
        <v>81</v>
      </c>
      <c r="L20" s="180" t="s">
        <v>71</v>
      </c>
      <c r="M20" s="182"/>
      <c r="N20" s="182"/>
      <c r="O20" s="182"/>
      <c r="P20" s="181"/>
      <c r="Q20" s="91" t="s">
        <v>72</v>
      </c>
      <c r="R20" s="8"/>
    </row>
    <row r="21" spans="1:18" s="2" customFormat="1" ht="30" customHeight="1" x14ac:dyDescent="0.5">
      <c r="A21" s="138"/>
      <c r="B21" s="250" t="s">
        <v>75</v>
      </c>
      <c r="C21" s="251"/>
      <c r="D21" s="51"/>
      <c r="E21" s="168"/>
      <c r="F21" s="169"/>
      <c r="G21" s="52"/>
      <c r="H21" s="185"/>
      <c r="I21" s="186"/>
      <c r="J21" s="135" t="str">
        <f>IF(L21 ="","",IF(L21&lt;&gt;M21,$G$2,J21))</f>
        <v/>
      </c>
      <c r="K21" s="136" t="str">
        <f ca="1">IF(L21 = "","",IF(L21&lt;&gt;M21,TEXT(NOW(),"yyyy-mm-dd h:mm:ss"),K21))</f>
        <v/>
      </c>
      <c r="L21" s="18"/>
      <c r="M21" s="71" t="str">
        <f t="shared" ref="M21:M22" ca="1" si="32">IF(M21=0,"",IF(L21&lt;&gt;M21,L21,M21))</f>
        <v/>
      </c>
      <c r="N21" s="245" t="str">
        <f>IF(L21="未完成","×",IF(L21="已完成","√",""))</f>
        <v/>
      </c>
      <c r="O21" s="246"/>
      <c r="P21" s="247"/>
      <c r="Q21" s="133"/>
      <c r="R21" s="8"/>
    </row>
    <row r="22" spans="1:18" s="2" customFormat="1" ht="30" customHeight="1" x14ac:dyDescent="0.5">
      <c r="A22" s="138"/>
      <c r="B22" s="250" t="s">
        <v>76</v>
      </c>
      <c r="C22" s="251"/>
      <c r="D22" s="51"/>
      <c r="E22" s="168"/>
      <c r="F22" s="169"/>
      <c r="G22" s="52"/>
      <c r="H22" s="185"/>
      <c r="I22" s="186"/>
      <c r="J22" s="135" t="str">
        <f t="shared" ref="J22" si="33">IF(L22 ="","",IF(L22&lt;&gt;M22,$G$2,J22))</f>
        <v/>
      </c>
      <c r="K22" s="136" t="str">
        <f ca="1">IF(L22 = "","",IF(L22&lt;&gt;M22,TEXT(NOW(),"yyyy-mm-dd h:mm:ss"),K22))</f>
        <v/>
      </c>
      <c r="L22" s="18"/>
      <c r="M22" s="45" t="str">
        <f t="shared" ca="1" si="32"/>
        <v/>
      </c>
      <c r="N22" s="248" t="str">
        <f>IF(L22="未完成","×",IF(L22="已完成","√",""))</f>
        <v/>
      </c>
      <c r="O22" s="248"/>
      <c r="P22" s="249"/>
      <c r="Q22" s="134"/>
      <c r="R22" s="8"/>
    </row>
    <row r="23" spans="1:18" s="2" customFormat="1" ht="20" customHeight="1" x14ac:dyDescent="0.5">
      <c r="A23" s="138"/>
      <c r="B23" s="178" t="s">
        <v>114</v>
      </c>
      <c r="C23" s="179"/>
      <c r="D23" s="46" t="s">
        <v>77</v>
      </c>
      <c r="E23" s="180" t="s">
        <v>69</v>
      </c>
      <c r="F23" s="181"/>
      <c r="G23" s="90" t="s">
        <v>74</v>
      </c>
      <c r="H23" s="90" t="s">
        <v>113</v>
      </c>
      <c r="I23" s="90" t="s">
        <v>112</v>
      </c>
      <c r="J23" s="90" t="s">
        <v>79</v>
      </c>
      <c r="K23" s="107" t="s">
        <v>81</v>
      </c>
      <c r="L23" s="180" t="s">
        <v>71</v>
      </c>
      <c r="M23" s="182"/>
      <c r="N23" s="182"/>
      <c r="O23" s="182"/>
      <c r="P23" s="181"/>
      <c r="Q23" s="91" t="s">
        <v>72</v>
      </c>
      <c r="R23" s="8"/>
    </row>
    <row r="24" spans="1:18" s="2" customFormat="1" ht="20" customHeight="1" x14ac:dyDescent="0.5">
      <c r="A24" s="138"/>
      <c r="B24" s="242" t="s">
        <v>115</v>
      </c>
      <c r="C24" s="95"/>
      <c r="D24" s="51"/>
      <c r="E24" s="168"/>
      <c r="F24" s="169"/>
      <c r="G24" s="52"/>
      <c r="H24" s="137" t="str">
        <f ca="1">IF(I24 = "", "", TEXT(NOW(),"yy-mm-dd hh:mm:ss"))</f>
        <v/>
      </c>
      <c r="I24" s="94"/>
      <c r="J24" s="135" t="s">
        <v>110</v>
      </c>
      <c r="K24" s="136" t="str">
        <f ca="1">IF(L24 = "","",IF(L24&lt;&gt;M24,TEXT(NOW(),"yyyy-mm-dd h:mm:ss"),K24))</f>
        <v/>
      </c>
      <c r="L24" s="18"/>
      <c r="M24" s="71" t="s">
        <v>110</v>
      </c>
      <c r="N24" s="245" t="s">
        <v>110</v>
      </c>
      <c r="O24" s="246"/>
      <c r="P24" s="247"/>
      <c r="Q24" s="133"/>
      <c r="R24" s="8"/>
    </row>
    <row r="25" spans="1:18" s="2" customFormat="1" ht="20" customHeight="1" x14ac:dyDescent="0.5">
      <c r="A25" s="138"/>
      <c r="B25" s="243"/>
      <c r="C25" s="95"/>
      <c r="D25" s="51"/>
      <c r="E25" s="168"/>
      <c r="F25" s="169"/>
      <c r="G25" s="52"/>
      <c r="H25" s="137" t="str">
        <f t="shared" ref="H25:H26" ca="1" si="34">IF(I25 = "", "", TEXT(NOW(),"yy-mm-dd hh:mm:ss"))</f>
        <v/>
      </c>
      <c r="I25" s="94"/>
      <c r="J25" s="135" t="s">
        <v>110</v>
      </c>
      <c r="K25" s="136" t="str">
        <f t="shared" ref="K25:K26" ca="1" si="35">IF(L25 = "","",IF(L25&lt;&gt;M25,TEXT(NOW(),"yyyy-mm-dd h:mm:ss"),K25))</f>
        <v/>
      </c>
      <c r="L25" s="18"/>
      <c r="M25" s="45" t="s">
        <v>110</v>
      </c>
      <c r="N25" s="248" t="s">
        <v>110</v>
      </c>
      <c r="O25" s="248"/>
      <c r="P25" s="249"/>
      <c r="Q25" s="134"/>
      <c r="R25" s="8"/>
    </row>
    <row r="26" spans="1:18" s="2" customFormat="1" ht="20" customHeight="1" x14ac:dyDescent="0.5">
      <c r="A26" s="138"/>
      <c r="B26" s="244"/>
      <c r="C26" s="95"/>
      <c r="D26" s="51"/>
      <c r="E26" s="168"/>
      <c r="F26" s="169"/>
      <c r="G26" s="52"/>
      <c r="H26" s="137" t="str">
        <f t="shared" ca="1" si="34"/>
        <v/>
      </c>
      <c r="I26" s="94"/>
      <c r="J26" s="135" t="s">
        <v>110</v>
      </c>
      <c r="K26" s="136" t="str">
        <f t="shared" ca="1" si="35"/>
        <v/>
      </c>
      <c r="L26" s="18"/>
      <c r="M26" s="71" t="s">
        <v>110</v>
      </c>
      <c r="N26" s="245" t="s">
        <v>110</v>
      </c>
      <c r="O26" s="246"/>
      <c r="P26" s="247"/>
      <c r="Q26" s="133"/>
      <c r="R26" s="8"/>
    </row>
    <row r="27" spans="1:18" s="2" customFormat="1" ht="40.049999999999997" customHeight="1" x14ac:dyDescent="0.5">
      <c r="A27" s="138"/>
      <c r="B27" s="238" t="s">
        <v>116</v>
      </c>
      <c r="C27" s="156"/>
      <c r="D27" s="157"/>
      <c r="E27" s="157"/>
      <c r="F27" s="157"/>
      <c r="G27" s="157"/>
      <c r="H27" s="158"/>
      <c r="I27" s="96" t="s">
        <v>118</v>
      </c>
      <c r="J27" s="162"/>
      <c r="K27" s="163"/>
      <c r="L27" s="163"/>
      <c r="M27" s="163"/>
      <c r="N27" s="163"/>
      <c r="O27" s="163"/>
      <c r="P27" s="163"/>
      <c r="Q27" s="164"/>
    </row>
    <row r="28" spans="1:18" s="2" customFormat="1" ht="40.15" customHeight="1" x14ac:dyDescent="0.5">
      <c r="A28" s="139"/>
      <c r="B28" s="239"/>
      <c r="C28" s="159"/>
      <c r="D28" s="160"/>
      <c r="E28" s="160"/>
      <c r="F28" s="160"/>
      <c r="G28" s="160"/>
      <c r="H28" s="161"/>
      <c r="I28" s="97" t="s">
        <v>117</v>
      </c>
      <c r="J28" s="165"/>
      <c r="K28" s="166"/>
      <c r="L28" s="166"/>
      <c r="M28" s="166"/>
      <c r="N28" s="166"/>
      <c r="O28" s="166"/>
      <c r="P28" s="166"/>
      <c r="Q28" s="167"/>
    </row>
    <row r="29" spans="1:18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18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18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18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s="8" customFormat="1" ht="20" hidden="1" customHeight="1" x14ac:dyDescent="0.5">
      <c r="A92" s="20"/>
      <c r="B92" s="28"/>
      <c r="C92" s="22"/>
      <c r="D92" s="16"/>
      <c r="E92" s="22"/>
      <c r="F92" s="22"/>
      <c r="G92" s="22"/>
      <c r="H92" s="22"/>
      <c r="I92" s="22"/>
      <c r="J92" s="22"/>
      <c r="K92" s="22"/>
      <c r="L92" s="29"/>
      <c r="M92" s="7"/>
      <c r="N92" s="14"/>
      <c r="O92" s="40"/>
      <c r="P92" s="9"/>
      <c r="Q92" s="7"/>
    </row>
    <row r="93" spans="1:17" ht="22.9" hidden="1" customHeight="1" x14ac:dyDescent="0.5"/>
    <row r="94" spans="1:17" ht="22.9" hidden="1" customHeight="1" x14ac:dyDescent="0.5"/>
    <row r="95" spans="1:17" ht="22.9" hidden="1" customHeight="1" x14ac:dyDescent="0.5"/>
    <row r="96" spans="1:17" ht="22.9" hidden="1" customHeight="1" x14ac:dyDescent="0.5"/>
  </sheetData>
  <sheetProtection sheet="1" objects="1" scenarios="1"/>
  <dataConsolidate/>
  <mergeCells count="60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O9:P9"/>
    <mergeCell ref="I3:I4"/>
    <mergeCell ref="J3:K3"/>
    <mergeCell ref="L3:L4"/>
    <mergeCell ref="N3:N4"/>
    <mergeCell ref="O3:P4"/>
    <mergeCell ref="B5:D5"/>
    <mergeCell ref="G5:H5"/>
    <mergeCell ref="I5:K5"/>
    <mergeCell ref="O5:P5"/>
    <mergeCell ref="O8:P8"/>
    <mergeCell ref="O17:P17"/>
    <mergeCell ref="O18:P18"/>
    <mergeCell ref="O19:P19"/>
    <mergeCell ref="O10:P10"/>
    <mergeCell ref="O11:P11"/>
    <mergeCell ref="O12:P12"/>
    <mergeCell ref="O13:P13"/>
    <mergeCell ref="O14:P14"/>
    <mergeCell ref="O15:P15"/>
    <mergeCell ref="B20:C20"/>
    <mergeCell ref="E20:F20"/>
    <mergeCell ref="H20:I20"/>
    <mergeCell ref="L20:P20"/>
    <mergeCell ref="B21:C21"/>
    <mergeCell ref="E21:F21"/>
    <mergeCell ref="H21:I21"/>
    <mergeCell ref="N21:P21"/>
    <mergeCell ref="H22:I22"/>
    <mergeCell ref="N22:P22"/>
    <mergeCell ref="B23:C23"/>
    <mergeCell ref="E23:F23"/>
    <mergeCell ref="L23:P23"/>
    <mergeCell ref="B27:B28"/>
    <mergeCell ref="C27:H28"/>
    <mergeCell ref="J27:Q27"/>
    <mergeCell ref="J28:Q28"/>
    <mergeCell ref="O6:P6"/>
    <mergeCell ref="O7:P7"/>
    <mergeCell ref="O16:P16"/>
    <mergeCell ref="B24:B26"/>
    <mergeCell ref="E24:F24"/>
    <mergeCell ref="N24:P24"/>
    <mergeCell ref="E25:F25"/>
    <mergeCell ref="N25:P25"/>
    <mergeCell ref="E26:F26"/>
    <mergeCell ref="N26:P26"/>
    <mergeCell ref="B22:C22"/>
    <mergeCell ref="E22:F22"/>
  </mergeCells>
  <phoneticPr fontId="1" type="noConversion"/>
  <conditionalFormatting sqref="N30:O30 I19 N19:O19">
    <cfRule type="cellIs" dxfId="597" priority="295" operator="equal">
      <formula>"×"</formula>
    </cfRule>
    <cfRule type="cellIs" dxfId="596" priority="296" operator="equal">
      <formula>"√"</formula>
    </cfRule>
  </conditionalFormatting>
  <conditionalFormatting sqref="L30 L9:L19">
    <cfRule type="cellIs" dxfId="595" priority="293" operator="equal">
      <formula>"未完成"</formula>
    </cfRule>
    <cfRule type="cellIs" dxfId="594" priority="294" operator="equal">
      <formula>"已完成"</formula>
    </cfRule>
  </conditionalFormatting>
  <conditionalFormatting sqref="N9:N18">
    <cfRule type="cellIs" dxfId="593" priority="291" operator="equal">
      <formula>"×"</formula>
    </cfRule>
    <cfRule type="cellIs" dxfId="592" priority="292" operator="equal">
      <formula>"√"</formula>
    </cfRule>
  </conditionalFormatting>
  <conditionalFormatting sqref="D21:D22 N21:N22">
    <cfRule type="cellIs" dxfId="591" priority="287" operator="equal">
      <formula>"×"</formula>
    </cfRule>
    <cfRule type="cellIs" dxfId="590" priority="288" operator="equal">
      <formula>"√"</formula>
    </cfRule>
  </conditionalFormatting>
  <conditionalFormatting sqref="L21:L22">
    <cfRule type="cellIs" dxfId="589" priority="285" operator="equal">
      <formula>"未完成"</formula>
    </cfRule>
    <cfRule type="cellIs" dxfId="588" priority="286" operator="equal">
      <formula>"已完成"</formula>
    </cfRule>
  </conditionalFormatting>
  <conditionalFormatting sqref="L20">
    <cfRule type="cellIs" dxfId="587" priority="281" operator="equal">
      <formula>"未完成"</formula>
    </cfRule>
    <cfRule type="cellIs" dxfId="586" priority="282" operator="equal">
      <formula>"已完成"</formula>
    </cfRule>
  </conditionalFormatting>
  <conditionalFormatting sqref="D20">
    <cfRule type="cellIs" dxfId="585" priority="283" operator="equal">
      <formula>"×"</formula>
    </cfRule>
    <cfRule type="cellIs" dxfId="584" priority="284" operator="equal">
      <formula>"√"</formula>
    </cfRule>
  </conditionalFormatting>
  <conditionalFormatting sqref="I9:I18">
    <cfRule type="cellIs" dxfId="583" priority="279" operator="equal">
      <formula>"×"</formula>
    </cfRule>
    <cfRule type="cellIs" dxfId="582" priority="280" operator="equal">
      <formula>"√"</formula>
    </cfRule>
  </conditionalFormatting>
  <conditionalFormatting sqref="O9:O18">
    <cfRule type="cellIs" dxfId="581" priority="277" operator="equal">
      <formula>"×"</formula>
    </cfRule>
    <cfRule type="cellIs" dxfId="580" priority="278" operator="equal">
      <formula>"√"</formula>
    </cfRule>
  </conditionalFormatting>
  <conditionalFormatting sqref="N5:O5">
    <cfRule type="cellIs" dxfId="579" priority="275" operator="equal">
      <formula>"×"</formula>
    </cfRule>
    <cfRule type="cellIs" dxfId="578" priority="276" operator="equal">
      <formula>"√"</formula>
    </cfRule>
  </conditionalFormatting>
  <conditionalFormatting sqref="L5">
    <cfRule type="cellIs" dxfId="577" priority="273" operator="equal">
      <formula>"未完成"</formula>
    </cfRule>
    <cfRule type="cellIs" dxfId="576" priority="274" operator="equal">
      <formula>"已完成"</formula>
    </cfRule>
  </conditionalFormatting>
  <conditionalFormatting sqref="N6:N8">
    <cfRule type="cellIs" dxfId="575" priority="271" operator="equal">
      <formula>"×"</formula>
    </cfRule>
    <cfRule type="cellIs" dxfId="574" priority="272" operator="equal">
      <formula>"√"</formula>
    </cfRule>
  </conditionalFormatting>
  <conditionalFormatting sqref="L6:L8">
    <cfRule type="cellIs" dxfId="573" priority="269" operator="equal">
      <formula>"未完成"</formula>
    </cfRule>
    <cfRule type="cellIs" dxfId="572" priority="270" operator="equal">
      <formula>"已完成"</formula>
    </cfRule>
  </conditionalFormatting>
  <conditionalFormatting sqref="I6:I8">
    <cfRule type="cellIs" dxfId="571" priority="267" operator="equal">
      <formula>"×"</formula>
    </cfRule>
    <cfRule type="cellIs" dxfId="570" priority="268" operator="equal">
      <formula>"√"</formula>
    </cfRule>
  </conditionalFormatting>
  <conditionalFormatting sqref="O6:O8">
    <cfRule type="cellIs" dxfId="569" priority="265" operator="equal">
      <formula>"×"</formula>
    </cfRule>
    <cfRule type="cellIs" dxfId="568" priority="266" operator="equal">
      <formula>"√"</formula>
    </cfRule>
  </conditionalFormatting>
  <conditionalFormatting sqref="N31:O31">
    <cfRule type="cellIs" dxfId="567" priority="263" operator="equal">
      <formula>"×"</formula>
    </cfRule>
    <cfRule type="cellIs" dxfId="566" priority="264" operator="equal">
      <formula>"√"</formula>
    </cfRule>
  </conditionalFormatting>
  <conditionalFormatting sqref="L31">
    <cfRule type="cellIs" dxfId="565" priority="261" operator="equal">
      <formula>"未完成"</formula>
    </cfRule>
    <cfRule type="cellIs" dxfId="564" priority="262" operator="equal">
      <formula>"已完成"</formula>
    </cfRule>
  </conditionalFormatting>
  <conditionalFormatting sqref="N32:O32">
    <cfRule type="cellIs" dxfId="563" priority="259" operator="equal">
      <formula>"×"</formula>
    </cfRule>
    <cfRule type="cellIs" dxfId="562" priority="260" operator="equal">
      <formula>"√"</formula>
    </cfRule>
  </conditionalFormatting>
  <conditionalFormatting sqref="L32">
    <cfRule type="cellIs" dxfId="561" priority="257" operator="equal">
      <formula>"未完成"</formula>
    </cfRule>
    <cfRule type="cellIs" dxfId="560" priority="258" operator="equal">
      <formula>"已完成"</formula>
    </cfRule>
  </conditionalFormatting>
  <conditionalFormatting sqref="N33:O33">
    <cfRule type="cellIs" dxfId="559" priority="255" operator="equal">
      <formula>"×"</formula>
    </cfRule>
    <cfRule type="cellIs" dxfId="558" priority="256" operator="equal">
      <formula>"√"</formula>
    </cfRule>
  </conditionalFormatting>
  <conditionalFormatting sqref="L33">
    <cfRule type="cellIs" dxfId="557" priority="253" operator="equal">
      <formula>"未完成"</formula>
    </cfRule>
    <cfRule type="cellIs" dxfId="556" priority="254" operator="equal">
      <formula>"已完成"</formula>
    </cfRule>
  </conditionalFormatting>
  <conditionalFormatting sqref="N34:O34">
    <cfRule type="cellIs" dxfId="555" priority="251" operator="equal">
      <formula>"×"</formula>
    </cfRule>
    <cfRule type="cellIs" dxfId="554" priority="252" operator="equal">
      <formula>"√"</formula>
    </cfRule>
  </conditionalFormatting>
  <conditionalFormatting sqref="L34">
    <cfRule type="cellIs" dxfId="553" priority="249" operator="equal">
      <formula>"未完成"</formula>
    </cfRule>
    <cfRule type="cellIs" dxfId="552" priority="250" operator="equal">
      <formula>"已完成"</formula>
    </cfRule>
  </conditionalFormatting>
  <conditionalFormatting sqref="N35:O35">
    <cfRule type="cellIs" dxfId="551" priority="247" operator="equal">
      <formula>"×"</formula>
    </cfRule>
    <cfRule type="cellIs" dxfId="550" priority="248" operator="equal">
      <formula>"√"</formula>
    </cfRule>
  </conditionalFormatting>
  <conditionalFormatting sqref="L35">
    <cfRule type="cellIs" dxfId="549" priority="245" operator="equal">
      <formula>"未完成"</formula>
    </cfRule>
    <cfRule type="cellIs" dxfId="548" priority="246" operator="equal">
      <formula>"已完成"</formula>
    </cfRule>
  </conditionalFormatting>
  <conditionalFormatting sqref="N36:O36">
    <cfRule type="cellIs" dxfId="547" priority="243" operator="equal">
      <formula>"×"</formula>
    </cfRule>
    <cfRule type="cellIs" dxfId="546" priority="244" operator="equal">
      <formula>"√"</formula>
    </cfRule>
  </conditionalFormatting>
  <conditionalFormatting sqref="L36">
    <cfRule type="cellIs" dxfId="545" priority="241" operator="equal">
      <formula>"未完成"</formula>
    </cfRule>
    <cfRule type="cellIs" dxfId="544" priority="242" operator="equal">
      <formula>"已完成"</formula>
    </cfRule>
  </conditionalFormatting>
  <conditionalFormatting sqref="N37:O37">
    <cfRule type="cellIs" dxfId="543" priority="239" operator="equal">
      <formula>"×"</formula>
    </cfRule>
    <cfRule type="cellIs" dxfId="542" priority="240" operator="equal">
      <formula>"√"</formula>
    </cfRule>
  </conditionalFormatting>
  <conditionalFormatting sqref="L37">
    <cfRule type="cellIs" dxfId="541" priority="237" operator="equal">
      <formula>"未完成"</formula>
    </cfRule>
    <cfRule type="cellIs" dxfId="540" priority="238" operator="equal">
      <formula>"已完成"</formula>
    </cfRule>
  </conditionalFormatting>
  <conditionalFormatting sqref="N38:O38">
    <cfRule type="cellIs" dxfId="539" priority="235" operator="equal">
      <formula>"×"</formula>
    </cfRule>
    <cfRule type="cellIs" dxfId="538" priority="236" operator="equal">
      <formula>"√"</formula>
    </cfRule>
  </conditionalFormatting>
  <conditionalFormatting sqref="L38">
    <cfRule type="cellIs" dxfId="537" priority="233" operator="equal">
      <formula>"未完成"</formula>
    </cfRule>
    <cfRule type="cellIs" dxfId="536" priority="234" operator="equal">
      <formula>"已完成"</formula>
    </cfRule>
  </conditionalFormatting>
  <conditionalFormatting sqref="N39:O39">
    <cfRule type="cellIs" dxfId="535" priority="231" operator="equal">
      <formula>"×"</formula>
    </cfRule>
    <cfRule type="cellIs" dxfId="534" priority="232" operator="equal">
      <formula>"√"</formula>
    </cfRule>
  </conditionalFormatting>
  <conditionalFormatting sqref="L39">
    <cfRule type="cellIs" dxfId="533" priority="229" operator="equal">
      <formula>"未完成"</formula>
    </cfRule>
    <cfRule type="cellIs" dxfId="532" priority="230" operator="equal">
      <formula>"已完成"</formula>
    </cfRule>
  </conditionalFormatting>
  <conditionalFormatting sqref="N40:O40">
    <cfRule type="cellIs" dxfId="531" priority="227" operator="equal">
      <formula>"×"</formula>
    </cfRule>
    <cfRule type="cellIs" dxfId="530" priority="228" operator="equal">
      <formula>"√"</formula>
    </cfRule>
  </conditionalFormatting>
  <conditionalFormatting sqref="L40">
    <cfRule type="cellIs" dxfId="529" priority="225" operator="equal">
      <formula>"未完成"</formula>
    </cfRule>
    <cfRule type="cellIs" dxfId="528" priority="226" operator="equal">
      <formula>"已完成"</formula>
    </cfRule>
  </conditionalFormatting>
  <conditionalFormatting sqref="N41:O41">
    <cfRule type="cellIs" dxfId="527" priority="223" operator="equal">
      <formula>"×"</formula>
    </cfRule>
    <cfRule type="cellIs" dxfId="526" priority="224" operator="equal">
      <formula>"√"</formula>
    </cfRule>
  </conditionalFormatting>
  <conditionalFormatting sqref="L41">
    <cfRule type="cellIs" dxfId="525" priority="221" operator="equal">
      <formula>"未完成"</formula>
    </cfRule>
    <cfRule type="cellIs" dxfId="524" priority="222" operator="equal">
      <formula>"已完成"</formula>
    </cfRule>
  </conditionalFormatting>
  <conditionalFormatting sqref="N42:O42">
    <cfRule type="cellIs" dxfId="523" priority="219" operator="equal">
      <formula>"×"</formula>
    </cfRule>
    <cfRule type="cellIs" dxfId="522" priority="220" operator="equal">
      <formula>"√"</formula>
    </cfRule>
  </conditionalFormatting>
  <conditionalFormatting sqref="L42">
    <cfRule type="cellIs" dxfId="521" priority="217" operator="equal">
      <formula>"未完成"</formula>
    </cfRule>
    <cfRule type="cellIs" dxfId="520" priority="218" operator="equal">
      <formula>"已完成"</formula>
    </cfRule>
  </conditionalFormatting>
  <conditionalFormatting sqref="N43:O43">
    <cfRule type="cellIs" dxfId="519" priority="215" operator="equal">
      <formula>"×"</formula>
    </cfRule>
    <cfRule type="cellIs" dxfId="518" priority="216" operator="equal">
      <formula>"√"</formula>
    </cfRule>
  </conditionalFormatting>
  <conditionalFormatting sqref="L43">
    <cfRule type="cellIs" dxfId="517" priority="213" operator="equal">
      <formula>"未完成"</formula>
    </cfRule>
    <cfRule type="cellIs" dxfId="516" priority="214" operator="equal">
      <formula>"已完成"</formula>
    </cfRule>
  </conditionalFormatting>
  <conditionalFormatting sqref="N44:O44">
    <cfRule type="cellIs" dxfId="515" priority="211" operator="equal">
      <formula>"×"</formula>
    </cfRule>
    <cfRule type="cellIs" dxfId="514" priority="212" operator="equal">
      <formula>"√"</formula>
    </cfRule>
  </conditionalFormatting>
  <conditionalFormatting sqref="L44">
    <cfRule type="cellIs" dxfId="513" priority="209" operator="equal">
      <formula>"未完成"</formula>
    </cfRule>
    <cfRule type="cellIs" dxfId="512" priority="210" operator="equal">
      <formula>"已完成"</formula>
    </cfRule>
  </conditionalFormatting>
  <conditionalFormatting sqref="N45:O45">
    <cfRule type="cellIs" dxfId="511" priority="207" operator="equal">
      <formula>"×"</formula>
    </cfRule>
    <cfRule type="cellIs" dxfId="510" priority="208" operator="equal">
      <formula>"√"</formula>
    </cfRule>
  </conditionalFormatting>
  <conditionalFormatting sqref="L45">
    <cfRule type="cellIs" dxfId="509" priority="205" operator="equal">
      <formula>"未完成"</formula>
    </cfRule>
    <cfRule type="cellIs" dxfId="508" priority="206" operator="equal">
      <formula>"已完成"</formula>
    </cfRule>
  </conditionalFormatting>
  <conditionalFormatting sqref="N46:O46">
    <cfRule type="cellIs" dxfId="507" priority="203" operator="equal">
      <formula>"×"</formula>
    </cfRule>
    <cfRule type="cellIs" dxfId="506" priority="204" operator="equal">
      <formula>"√"</formula>
    </cfRule>
  </conditionalFormatting>
  <conditionalFormatting sqref="L46">
    <cfRule type="cellIs" dxfId="505" priority="201" operator="equal">
      <formula>"未完成"</formula>
    </cfRule>
    <cfRule type="cellIs" dxfId="504" priority="202" operator="equal">
      <formula>"已完成"</formula>
    </cfRule>
  </conditionalFormatting>
  <conditionalFormatting sqref="N47:O47">
    <cfRule type="cellIs" dxfId="503" priority="199" operator="equal">
      <formula>"×"</formula>
    </cfRule>
    <cfRule type="cellIs" dxfId="502" priority="200" operator="equal">
      <formula>"√"</formula>
    </cfRule>
  </conditionalFormatting>
  <conditionalFormatting sqref="L47">
    <cfRule type="cellIs" dxfId="501" priority="197" operator="equal">
      <formula>"未完成"</formula>
    </cfRule>
    <cfRule type="cellIs" dxfId="500" priority="198" operator="equal">
      <formula>"已完成"</formula>
    </cfRule>
  </conditionalFormatting>
  <conditionalFormatting sqref="N48:O48">
    <cfRule type="cellIs" dxfId="499" priority="195" operator="equal">
      <formula>"×"</formula>
    </cfRule>
    <cfRule type="cellIs" dxfId="498" priority="196" operator="equal">
      <formula>"√"</formula>
    </cfRule>
  </conditionalFormatting>
  <conditionalFormatting sqref="L48">
    <cfRule type="cellIs" dxfId="497" priority="193" operator="equal">
      <formula>"未完成"</formula>
    </cfRule>
    <cfRule type="cellIs" dxfId="496" priority="194" operator="equal">
      <formula>"已完成"</formula>
    </cfRule>
  </conditionalFormatting>
  <conditionalFormatting sqref="N49:O49">
    <cfRule type="cellIs" dxfId="495" priority="191" operator="equal">
      <formula>"×"</formula>
    </cfRule>
    <cfRule type="cellIs" dxfId="494" priority="192" operator="equal">
      <formula>"√"</formula>
    </cfRule>
  </conditionalFormatting>
  <conditionalFormatting sqref="L49">
    <cfRule type="cellIs" dxfId="493" priority="189" operator="equal">
      <formula>"未完成"</formula>
    </cfRule>
    <cfRule type="cellIs" dxfId="492" priority="190" operator="equal">
      <formula>"已完成"</formula>
    </cfRule>
  </conditionalFormatting>
  <conditionalFormatting sqref="N50:O50">
    <cfRule type="cellIs" dxfId="491" priority="187" operator="equal">
      <formula>"×"</formula>
    </cfRule>
    <cfRule type="cellIs" dxfId="490" priority="188" operator="equal">
      <formula>"√"</formula>
    </cfRule>
  </conditionalFormatting>
  <conditionalFormatting sqref="L50">
    <cfRule type="cellIs" dxfId="489" priority="185" operator="equal">
      <formula>"未完成"</formula>
    </cfRule>
    <cfRule type="cellIs" dxfId="488" priority="186" operator="equal">
      <formula>"已完成"</formula>
    </cfRule>
  </conditionalFormatting>
  <conditionalFormatting sqref="N51:O51">
    <cfRule type="cellIs" dxfId="487" priority="183" operator="equal">
      <formula>"×"</formula>
    </cfRule>
    <cfRule type="cellIs" dxfId="486" priority="184" operator="equal">
      <formula>"√"</formula>
    </cfRule>
  </conditionalFormatting>
  <conditionalFormatting sqref="L51">
    <cfRule type="cellIs" dxfId="485" priority="181" operator="equal">
      <formula>"未完成"</formula>
    </cfRule>
    <cfRule type="cellIs" dxfId="484" priority="182" operator="equal">
      <formula>"已完成"</formula>
    </cfRule>
  </conditionalFormatting>
  <conditionalFormatting sqref="N52:O52">
    <cfRule type="cellIs" dxfId="483" priority="179" operator="equal">
      <formula>"×"</formula>
    </cfRule>
    <cfRule type="cellIs" dxfId="482" priority="180" operator="equal">
      <formula>"√"</formula>
    </cfRule>
  </conditionalFormatting>
  <conditionalFormatting sqref="L52">
    <cfRule type="cellIs" dxfId="481" priority="177" operator="equal">
      <formula>"未完成"</formula>
    </cfRule>
    <cfRule type="cellIs" dxfId="480" priority="178" operator="equal">
      <formula>"已完成"</formula>
    </cfRule>
  </conditionalFormatting>
  <conditionalFormatting sqref="N53:O53">
    <cfRule type="cellIs" dxfId="479" priority="175" operator="equal">
      <formula>"×"</formula>
    </cfRule>
    <cfRule type="cellIs" dxfId="478" priority="176" operator="equal">
      <formula>"√"</formula>
    </cfRule>
  </conditionalFormatting>
  <conditionalFormatting sqref="L53">
    <cfRule type="cellIs" dxfId="477" priority="173" operator="equal">
      <formula>"未完成"</formula>
    </cfRule>
    <cfRule type="cellIs" dxfId="476" priority="174" operator="equal">
      <formula>"已完成"</formula>
    </cfRule>
  </conditionalFormatting>
  <conditionalFormatting sqref="N54:O54">
    <cfRule type="cellIs" dxfId="475" priority="171" operator="equal">
      <formula>"×"</formula>
    </cfRule>
    <cfRule type="cellIs" dxfId="474" priority="172" operator="equal">
      <formula>"√"</formula>
    </cfRule>
  </conditionalFormatting>
  <conditionalFormatting sqref="L54">
    <cfRule type="cellIs" dxfId="473" priority="169" operator="equal">
      <formula>"未完成"</formula>
    </cfRule>
    <cfRule type="cellIs" dxfId="472" priority="170" operator="equal">
      <formula>"已完成"</formula>
    </cfRule>
  </conditionalFormatting>
  <conditionalFormatting sqref="N55:O55">
    <cfRule type="cellIs" dxfId="471" priority="167" operator="equal">
      <formula>"×"</formula>
    </cfRule>
    <cfRule type="cellIs" dxfId="470" priority="168" operator="equal">
      <formula>"√"</formula>
    </cfRule>
  </conditionalFormatting>
  <conditionalFormatting sqref="L55">
    <cfRule type="cellIs" dxfId="469" priority="165" operator="equal">
      <formula>"未完成"</formula>
    </cfRule>
    <cfRule type="cellIs" dxfId="468" priority="166" operator="equal">
      <formula>"已完成"</formula>
    </cfRule>
  </conditionalFormatting>
  <conditionalFormatting sqref="N56:O56">
    <cfRule type="cellIs" dxfId="467" priority="163" operator="equal">
      <formula>"×"</formula>
    </cfRule>
    <cfRule type="cellIs" dxfId="466" priority="164" operator="equal">
      <formula>"√"</formula>
    </cfRule>
  </conditionalFormatting>
  <conditionalFormatting sqref="L56">
    <cfRule type="cellIs" dxfId="465" priority="161" operator="equal">
      <formula>"未完成"</formula>
    </cfRule>
    <cfRule type="cellIs" dxfId="464" priority="162" operator="equal">
      <formula>"已完成"</formula>
    </cfRule>
  </conditionalFormatting>
  <conditionalFormatting sqref="N57:O57">
    <cfRule type="cellIs" dxfId="463" priority="159" operator="equal">
      <formula>"×"</formula>
    </cfRule>
    <cfRule type="cellIs" dxfId="462" priority="160" operator="equal">
      <formula>"√"</formula>
    </cfRule>
  </conditionalFormatting>
  <conditionalFormatting sqref="L57">
    <cfRule type="cellIs" dxfId="461" priority="157" operator="equal">
      <formula>"未完成"</formula>
    </cfRule>
    <cfRule type="cellIs" dxfId="460" priority="158" operator="equal">
      <formula>"已完成"</formula>
    </cfRule>
  </conditionalFormatting>
  <conditionalFormatting sqref="N58:O58">
    <cfRule type="cellIs" dxfId="459" priority="155" operator="equal">
      <formula>"×"</formula>
    </cfRule>
    <cfRule type="cellIs" dxfId="458" priority="156" operator="equal">
      <formula>"√"</formula>
    </cfRule>
  </conditionalFormatting>
  <conditionalFormatting sqref="L58">
    <cfRule type="cellIs" dxfId="457" priority="153" operator="equal">
      <formula>"未完成"</formula>
    </cfRule>
    <cfRule type="cellIs" dxfId="456" priority="154" operator="equal">
      <formula>"已完成"</formula>
    </cfRule>
  </conditionalFormatting>
  <conditionalFormatting sqref="N59:O59">
    <cfRule type="cellIs" dxfId="455" priority="151" operator="equal">
      <formula>"×"</formula>
    </cfRule>
    <cfRule type="cellIs" dxfId="454" priority="152" operator="equal">
      <formula>"√"</formula>
    </cfRule>
  </conditionalFormatting>
  <conditionalFormatting sqref="L59">
    <cfRule type="cellIs" dxfId="453" priority="149" operator="equal">
      <formula>"未完成"</formula>
    </cfRule>
    <cfRule type="cellIs" dxfId="452" priority="150" operator="equal">
      <formula>"已完成"</formula>
    </cfRule>
  </conditionalFormatting>
  <conditionalFormatting sqref="N60:O60">
    <cfRule type="cellIs" dxfId="451" priority="147" operator="equal">
      <formula>"×"</formula>
    </cfRule>
    <cfRule type="cellIs" dxfId="450" priority="148" operator="equal">
      <formula>"√"</formula>
    </cfRule>
  </conditionalFormatting>
  <conditionalFormatting sqref="L60">
    <cfRule type="cellIs" dxfId="449" priority="145" operator="equal">
      <formula>"未完成"</formula>
    </cfRule>
    <cfRule type="cellIs" dxfId="448" priority="146" operator="equal">
      <formula>"已完成"</formula>
    </cfRule>
  </conditionalFormatting>
  <conditionalFormatting sqref="N61:O61">
    <cfRule type="cellIs" dxfId="447" priority="143" operator="equal">
      <formula>"×"</formula>
    </cfRule>
    <cfRule type="cellIs" dxfId="446" priority="144" operator="equal">
      <formula>"√"</formula>
    </cfRule>
  </conditionalFormatting>
  <conditionalFormatting sqref="L61">
    <cfRule type="cellIs" dxfId="445" priority="141" operator="equal">
      <formula>"未完成"</formula>
    </cfRule>
    <cfRule type="cellIs" dxfId="444" priority="142" operator="equal">
      <formula>"已完成"</formula>
    </cfRule>
  </conditionalFormatting>
  <conditionalFormatting sqref="N62:O62">
    <cfRule type="cellIs" dxfId="443" priority="139" operator="equal">
      <formula>"×"</formula>
    </cfRule>
    <cfRule type="cellIs" dxfId="442" priority="140" operator="equal">
      <formula>"√"</formula>
    </cfRule>
  </conditionalFormatting>
  <conditionalFormatting sqref="L62">
    <cfRule type="cellIs" dxfId="441" priority="137" operator="equal">
      <formula>"未完成"</formula>
    </cfRule>
    <cfRule type="cellIs" dxfId="440" priority="138" operator="equal">
      <formula>"已完成"</formula>
    </cfRule>
  </conditionalFormatting>
  <conditionalFormatting sqref="N63:O63">
    <cfRule type="cellIs" dxfId="439" priority="135" operator="equal">
      <formula>"×"</formula>
    </cfRule>
    <cfRule type="cellIs" dxfId="438" priority="136" operator="equal">
      <formula>"√"</formula>
    </cfRule>
  </conditionalFormatting>
  <conditionalFormatting sqref="L63">
    <cfRule type="cellIs" dxfId="437" priority="133" operator="equal">
      <formula>"未完成"</formula>
    </cfRule>
    <cfRule type="cellIs" dxfId="436" priority="134" operator="equal">
      <formula>"已完成"</formula>
    </cfRule>
  </conditionalFormatting>
  <conditionalFormatting sqref="N64:O64">
    <cfRule type="cellIs" dxfId="435" priority="131" operator="equal">
      <formula>"×"</formula>
    </cfRule>
    <cfRule type="cellIs" dxfId="434" priority="132" operator="equal">
      <formula>"√"</formula>
    </cfRule>
  </conditionalFormatting>
  <conditionalFormatting sqref="L64">
    <cfRule type="cellIs" dxfId="433" priority="129" operator="equal">
      <formula>"未完成"</formula>
    </cfRule>
    <cfRule type="cellIs" dxfId="432" priority="130" operator="equal">
      <formula>"已完成"</formula>
    </cfRule>
  </conditionalFormatting>
  <conditionalFormatting sqref="N65:O65">
    <cfRule type="cellIs" dxfId="431" priority="127" operator="equal">
      <formula>"×"</formula>
    </cfRule>
    <cfRule type="cellIs" dxfId="430" priority="128" operator="equal">
      <formula>"√"</formula>
    </cfRule>
  </conditionalFormatting>
  <conditionalFormatting sqref="L65">
    <cfRule type="cellIs" dxfId="429" priority="125" operator="equal">
      <formula>"未完成"</formula>
    </cfRule>
    <cfRule type="cellIs" dxfId="428" priority="126" operator="equal">
      <formula>"已完成"</formula>
    </cfRule>
  </conditionalFormatting>
  <conditionalFormatting sqref="N66:O66">
    <cfRule type="cellIs" dxfId="427" priority="123" operator="equal">
      <formula>"×"</formula>
    </cfRule>
    <cfRule type="cellIs" dxfId="426" priority="124" operator="equal">
      <formula>"√"</formula>
    </cfRule>
  </conditionalFormatting>
  <conditionalFormatting sqref="L66">
    <cfRule type="cellIs" dxfId="425" priority="121" operator="equal">
      <formula>"未完成"</formula>
    </cfRule>
    <cfRule type="cellIs" dxfId="424" priority="122" operator="equal">
      <formula>"已完成"</formula>
    </cfRule>
  </conditionalFormatting>
  <conditionalFormatting sqref="N67:O67">
    <cfRule type="cellIs" dxfId="423" priority="119" operator="equal">
      <formula>"×"</formula>
    </cfRule>
    <cfRule type="cellIs" dxfId="422" priority="120" operator="equal">
      <formula>"√"</formula>
    </cfRule>
  </conditionalFormatting>
  <conditionalFormatting sqref="L67">
    <cfRule type="cellIs" dxfId="421" priority="117" operator="equal">
      <formula>"未完成"</formula>
    </cfRule>
    <cfRule type="cellIs" dxfId="420" priority="118" operator="equal">
      <formula>"已完成"</formula>
    </cfRule>
  </conditionalFormatting>
  <conditionalFormatting sqref="N68:O68">
    <cfRule type="cellIs" dxfId="419" priority="115" operator="equal">
      <formula>"×"</formula>
    </cfRule>
    <cfRule type="cellIs" dxfId="418" priority="116" operator="equal">
      <formula>"√"</formula>
    </cfRule>
  </conditionalFormatting>
  <conditionalFormatting sqref="L68">
    <cfRule type="cellIs" dxfId="417" priority="113" operator="equal">
      <formula>"未完成"</formula>
    </cfRule>
    <cfRule type="cellIs" dxfId="416" priority="114" operator="equal">
      <formula>"已完成"</formula>
    </cfRule>
  </conditionalFormatting>
  <conditionalFormatting sqref="N69:O69">
    <cfRule type="cellIs" dxfId="415" priority="111" operator="equal">
      <formula>"×"</formula>
    </cfRule>
    <cfRule type="cellIs" dxfId="414" priority="112" operator="equal">
      <formula>"√"</formula>
    </cfRule>
  </conditionalFormatting>
  <conditionalFormatting sqref="L69">
    <cfRule type="cellIs" dxfId="413" priority="109" operator="equal">
      <formula>"未完成"</formula>
    </cfRule>
    <cfRule type="cellIs" dxfId="412" priority="110" operator="equal">
      <formula>"已完成"</formula>
    </cfRule>
  </conditionalFormatting>
  <conditionalFormatting sqref="N70:O70">
    <cfRule type="cellIs" dxfId="411" priority="107" operator="equal">
      <formula>"×"</formula>
    </cfRule>
    <cfRule type="cellIs" dxfId="410" priority="108" operator="equal">
      <formula>"√"</formula>
    </cfRule>
  </conditionalFormatting>
  <conditionalFormatting sqref="L70">
    <cfRule type="cellIs" dxfId="409" priority="105" operator="equal">
      <formula>"未完成"</formula>
    </cfRule>
    <cfRule type="cellIs" dxfId="408" priority="106" operator="equal">
      <formula>"已完成"</formula>
    </cfRule>
  </conditionalFormatting>
  <conditionalFormatting sqref="N71:O71">
    <cfRule type="cellIs" dxfId="407" priority="103" operator="equal">
      <formula>"×"</formula>
    </cfRule>
    <cfRule type="cellIs" dxfId="406" priority="104" operator="equal">
      <formula>"√"</formula>
    </cfRule>
  </conditionalFormatting>
  <conditionalFormatting sqref="L71">
    <cfRule type="cellIs" dxfId="405" priority="101" operator="equal">
      <formula>"未完成"</formula>
    </cfRule>
    <cfRule type="cellIs" dxfId="404" priority="102" operator="equal">
      <formula>"已完成"</formula>
    </cfRule>
  </conditionalFormatting>
  <conditionalFormatting sqref="N72:O72">
    <cfRule type="cellIs" dxfId="403" priority="99" operator="equal">
      <formula>"×"</formula>
    </cfRule>
    <cfRule type="cellIs" dxfId="402" priority="100" operator="equal">
      <formula>"√"</formula>
    </cfRule>
  </conditionalFormatting>
  <conditionalFormatting sqref="L72">
    <cfRule type="cellIs" dxfId="401" priority="97" operator="equal">
      <formula>"未完成"</formula>
    </cfRule>
    <cfRule type="cellIs" dxfId="400" priority="98" operator="equal">
      <formula>"已完成"</formula>
    </cfRule>
  </conditionalFormatting>
  <conditionalFormatting sqref="N73:O73">
    <cfRule type="cellIs" dxfId="399" priority="95" operator="equal">
      <formula>"×"</formula>
    </cfRule>
    <cfRule type="cellIs" dxfId="398" priority="96" operator="equal">
      <formula>"√"</formula>
    </cfRule>
  </conditionalFormatting>
  <conditionalFormatting sqref="L73">
    <cfRule type="cellIs" dxfId="397" priority="93" operator="equal">
      <formula>"未完成"</formula>
    </cfRule>
    <cfRule type="cellIs" dxfId="396" priority="94" operator="equal">
      <formula>"已完成"</formula>
    </cfRule>
  </conditionalFormatting>
  <conditionalFormatting sqref="N74:O74">
    <cfRule type="cellIs" dxfId="395" priority="91" operator="equal">
      <formula>"×"</formula>
    </cfRule>
    <cfRule type="cellIs" dxfId="394" priority="92" operator="equal">
      <formula>"√"</formula>
    </cfRule>
  </conditionalFormatting>
  <conditionalFormatting sqref="L74">
    <cfRule type="cellIs" dxfId="393" priority="89" operator="equal">
      <formula>"未完成"</formula>
    </cfRule>
    <cfRule type="cellIs" dxfId="392" priority="90" operator="equal">
      <formula>"已完成"</formula>
    </cfRule>
  </conditionalFormatting>
  <conditionalFormatting sqref="N75:O75">
    <cfRule type="cellIs" dxfId="391" priority="87" operator="equal">
      <formula>"×"</formula>
    </cfRule>
    <cfRule type="cellIs" dxfId="390" priority="88" operator="equal">
      <formula>"√"</formula>
    </cfRule>
  </conditionalFormatting>
  <conditionalFormatting sqref="L75">
    <cfRule type="cellIs" dxfId="389" priority="85" operator="equal">
      <formula>"未完成"</formula>
    </cfRule>
    <cfRule type="cellIs" dxfId="388" priority="86" operator="equal">
      <formula>"已完成"</formula>
    </cfRule>
  </conditionalFormatting>
  <conditionalFormatting sqref="N76:O76">
    <cfRule type="cellIs" dxfId="387" priority="83" operator="equal">
      <formula>"×"</formula>
    </cfRule>
    <cfRule type="cellIs" dxfId="386" priority="84" operator="equal">
      <formula>"√"</formula>
    </cfRule>
  </conditionalFormatting>
  <conditionalFormatting sqref="L76">
    <cfRule type="cellIs" dxfId="385" priority="81" operator="equal">
      <formula>"未完成"</formula>
    </cfRule>
    <cfRule type="cellIs" dxfId="384" priority="82" operator="equal">
      <formula>"已完成"</formula>
    </cfRule>
  </conditionalFormatting>
  <conditionalFormatting sqref="N77:O77">
    <cfRule type="cellIs" dxfId="383" priority="79" operator="equal">
      <formula>"×"</formula>
    </cfRule>
    <cfRule type="cellIs" dxfId="382" priority="80" operator="equal">
      <formula>"√"</formula>
    </cfRule>
  </conditionalFormatting>
  <conditionalFormatting sqref="L77">
    <cfRule type="cellIs" dxfId="381" priority="77" operator="equal">
      <formula>"未完成"</formula>
    </cfRule>
    <cfRule type="cellIs" dxfId="380" priority="78" operator="equal">
      <formula>"已完成"</formula>
    </cfRule>
  </conditionalFormatting>
  <conditionalFormatting sqref="N78:O78">
    <cfRule type="cellIs" dxfId="379" priority="75" operator="equal">
      <formula>"×"</formula>
    </cfRule>
    <cfRule type="cellIs" dxfId="378" priority="76" operator="equal">
      <formula>"√"</formula>
    </cfRule>
  </conditionalFormatting>
  <conditionalFormatting sqref="L78">
    <cfRule type="cellIs" dxfId="377" priority="73" operator="equal">
      <formula>"未完成"</formula>
    </cfRule>
    <cfRule type="cellIs" dxfId="376" priority="74" operator="equal">
      <formula>"已完成"</formula>
    </cfRule>
  </conditionalFormatting>
  <conditionalFormatting sqref="N79:O79">
    <cfRule type="cellIs" dxfId="375" priority="71" operator="equal">
      <formula>"×"</formula>
    </cfRule>
    <cfRule type="cellIs" dxfId="374" priority="72" operator="equal">
      <formula>"√"</formula>
    </cfRule>
  </conditionalFormatting>
  <conditionalFormatting sqref="L79">
    <cfRule type="cellIs" dxfId="373" priority="69" operator="equal">
      <formula>"未完成"</formula>
    </cfRule>
    <cfRule type="cellIs" dxfId="372" priority="70" operator="equal">
      <formula>"已完成"</formula>
    </cfRule>
  </conditionalFormatting>
  <conditionalFormatting sqref="N80:O80">
    <cfRule type="cellIs" dxfId="371" priority="67" operator="equal">
      <formula>"×"</formula>
    </cfRule>
    <cfRule type="cellIs" dxfId="370" priority="68" operator="equal">
      <formula>"√"</formula>
    </cfRule>
  </conditionalFormatting>
  <conditionalFormatting sqref="L80">
    <cfRule type="cellIs" dxfId="369" priority="65" operator="equal">
      <formula>"未完成"</formula>
    </cfRule>
    <cfRule type="cellIs" dxfId="368" priority="66" operator="equal">
      <formula>"已完成"</formula>
    </cfRule>
  </conditionalFormatting>
  <conditionalFormatting sqref="N81:O81">
    <cfRule type="cellIs" dxfId="367" priority="63" operator="equal">
      <formula>"×"</formula>
    </cfRule>
    <cfRule type="cellIs" dxfId="366" priority="64" operator="equal">
      <formula>"√"</formula>
    </cfRule>
  </conditionalFormatting>
  <conditionalFormatting sqref="L81">
    <cfRule type="cellIs" dxfId="365" priority="61" operator="equal">
      <formula>"未完成"</formula>
    </cfRule>
    <cfRule type="cellIs" dxfId="364" priority="62" operator="equal">
      <formula>"已完成"</formula>
    </cfRule>
  </conditionalFormatting>
  <conditionalFormatting sqref="N82:O82">
    <cfRule type="cellIs" dxfId="363" priority="59" operator="equal">
      <formula>"×"</formula>
    </cfRule>
    <cfRule type="cellIs" dxfId="362" priority="60" operator="equal">
      <formula>"√"</formula>
    </cfRule>
  </conditionalFormatting>
  <conditionalFormatting sqref="L82">
    <cfRule type="cellIs" dxfId="361" priority="57" operator="equal">
      <formula>"未完成"</formula>
    </cfRule>
    <cfRule type="cellIs" dxfId="360" priority="58" operator="equal">
      <formula>"已完成"</formula>
    </cfRule>
  </conditionalFormatting>
  <conditionalFormatting sqref="N83:O83">
    <cfRule type="cellIs" dxfId="359" priority="55" operator="equal">
      <formula>"×"</formula>
    </cfRule>
    <cfRule type="cellIs" dxfId="358" priority="56" operator="equal">
      <formula>"√"</formula>
    </cfRule>
  </conditionalFormatting>
  <conditionalFormatting sqref="L83">
    <cfRule type="cellIs" dxfId="357" priority="53" operator="equal">
      <formula>"未完成"</formula>
    </cfRule>
    <cfRule type="cellIs" dxfId="356" priority="54" operator="equal">
      <formula>"已完成"</formula>
    </cfRule>
  </conditionalFormatting>
  <conditionalFormatting sqref="N84:O84">
    <cfRule type="cellIs" dxfId="355" priority="51" operator="equal">
      <formula>"×"</formula>
    </cfRule>
    <cfRule type="cellIs" dxfId="354" priority="52" operator="equal">
      <formula>"√"</formula>
    </cfRule>
  </conditionalFormatting>
  <conditionalFormatting sqref="L84">
    <cfRule type="cellIs" dxfId="353" priority="49" operator="equal">
      <formula>"未完成"</formula>
    </cfRule>
    <cfRule type="cellIs" dxfId="352" priority="50" operator="equal">
      <formula>"已完成"</formula>
    </cfRule>
  </conditionalFormatting>
  <conditionalFormatting sqref="N85:O85">
    <cfRule type="cellIs" dxfId="351" priority="47" operator="equal">
      <formula>"×"</formula>
    </cfRule>
    <cfRule type="cellIs" dxfId="350" priority="48" operator="equal">
      <formula>"√"</formula>
    </cfRule>
  </conditionalFormatting>
  <conditionalFormatting sqref="L85">
    <cfRule type="cellIs" dxfId="349" priority="45" operator="equal">
      <formula>"未完成"</formula>
    </cfRule>
    <cfRule type="cellIs" dxfId="348" priority="46" operator="equal">
      <formula>"已完成"</formula>
    </cfRule>
  </conditionalFormatting>
  <conditionalFormatting sqref="N86:O86">
    <cfRule type="cellIs" dxfId="347" priority="43" operator="equal">
      <formula>"×"</formula>
    </cfRule>
    <cfRule type="cellIs" dxfId="346" priority="44" operator="equal">
      <formula>"√"</formula>
    </cfRule>
  </conditionalFormatting>
  <conditionalFormatting sqref="L86">
    <cfRule type="cellIs" dxfId="345" priority="41" operator="equal">
      <formula>"未完成"</formula>
    </cfRule>
    <cfRule type="cellIs" dxfId="344" priority="42" operator="equal">
      <formula>"已完成"</formula>
    </cfRule>
  </conditionalFormatting>
  <conditionalFormatting sqref="N87:O87">
    <cfRule type="cellIs" dxfId="343" priority="39" operator="equal">
      <formula>"×"</formula>
    </cfRule>
    <cfRule type="cellIs" dxfId="342" priority="40" operator="equal">
      <formula>"√"</formula>
    </cfRule>
  </conditionalFormatting>
  <conditionalFormatting sqref="L87">
    <cfRule type="cellIs" dxfId="341" priority="37" operator="equal">
      <formula>"未完成"</formula>
    </cfRule>
    <cfRule type="cellIs" dxfId="340" priority="38" operator="equal">
      <formula>"已完成"</formula>
    </cfRule>
  </conditionalFormatting>
  <conditionalFormatting sqref="N88:O88">
    <cfRule type="cellIs" dxfId="339" priority="35" operator="equal">
      <formula>"×"</formula>
    </cfRule>
    <cfRule type="cellIs" dxfId="338" priority="36" operator="equal">
      <formula>"√"</formula>
    </cfRule>
  </conditionalFormatting>
  <conditionalFormatting sqref="L88">
    <cfRule type="cellIs" dxfId="337" priority="33" operator="equal">
      <formula>"未完成"</formula>
    </cfRule>
    <cfRule type="cellIs" dxfId="336" priority="34" operator="equal">
      <formula>"已完成"</formula>
    </cfRule>
  </conditionalFormatting>
  <conditionalFormatting sqref="N89:O89">
    <cfRule type="cellIs" dxfId="335" priority="31" operator="equal">
      <formula>"×"</formula>
    </cfRule>
    <cfRule type="cellIs" dxfId="334" priority="32" operator="equal">
      <formula>"√"</formula>
    </cfRule>
  </conditionalFormatting>
  <conditionalFormatting sqref="L89">
    <cfRule type="cellIs" dxfId="333" priority="29" operator="equal">
      <formula>"未完成"</formula>
    </cfRule>
    <cfRule type="cellIs" dxfId="332" priority="30" operator="equal">
      <formula>"已完成"</formula>
    </cfRule>
  </conditionalFormatting>
  <conditionalFormatting sqref="N90:O90">
    <cfRule type="cellIs" dxfId="331" priority="27" operator="equal">
      <formula>"×"</formula>
    </cfRule>
    <cfRule type="cellIs" dxfId="330" priority="28" operator="equal">
      <formula>"√"</formula>
    </cfRule>
  </conditionalFormatting>
  <conditionalFormatting sqref="L90">
    <cfRule type="cellIs" dxfId="329" priority="25" operator="equal">
      <formula>"未完成"</formula>
    </cfRule>
    <cfRule type="cellIs" dxfId="328" priority="26" operator="equal">
      <formula>"已完成"</formula>
    </cfRule>
  </conditionalFormatting>
  <conditionalFormatting sqref="N91:O91">
    <cfRule type="cellIs" dxfId="327" priority="23" operator="equal">
      <formula>"×"</formula>
    </cfRule>
    <cfRule type="cellIs" dxfId="326" priority="24" operator="equal">
      <formula>"√"</formula>
    </cfRule>
  </conditionalFormatting>
  <conditionalFormatting sqref="L91">
    <cfRule type="cellIs" dxfId="325" priority="21" operator="equal">
      <formula>"未完成"</formula>
    </cfRule>
    <cfRule type="cellIs" dxfId="324" priority="22" operator="equal">
      <formula>"已完成"</formula>
    </cfRule>
  </conditionalFormatting>
  <conditionalFormatting sqref="N92:O92">
    <cfRule type="cellIs" dxfId="323" priority="19" operator="equal">
      <formula>"×"</formula>
    </cfRule>
    <cfRule type="cellIs" dxfId="322" priority="20" operator="equal">
      <formula>"√"</formula>
    </cfRule>
  </conditionalFormatting>
  <conditionalFormatting sqref="L92">
    <cfRule type="cellIs" dxfId="321" priority="17" operator="equal">
      <formula>"未完成"</formula>
    </cfRule>
    <cfRule type="cellIs" dxfId="320" priority="18" operator="equal">
      <formula>"已完成"</formula>
    </cfRule>
  </conditionalFormatting>
  <conditionalFormatting sqref="N29:O29">
    <cfRule type="cellIs" dxfId="319" priority="15" operator="equal">
      <formula>"×"</formula>
    </cfRule>
    <cfRule type="cellIs" dxfId="318" priority="16" operator="equal">
      <formula>"√"</formula>
    </cfRule>
  </conditionalFormatting>
  <conditionalFormatting sqref="L29">
    <cfRule type="cellIs" dxfId="317" priority="13" operator="equal">
      <formula>"未完成"</formula>
    </cfRule>
    <cfRule type="cellIs" dxfId="316" priority="14" operator="equal">
      <formula>"已完成"</formula>
    </cfRule>
  </conditionalFormatting>
  <conditionalFormatting sqref="L23">
    <cfRule type="cellIs" dxfId="315" priority="9" operator="equal">
      <formula>"未完成"</formula>
    </cfRule>
    <cfRule type="cellIs" dxfId="314" priority="10" operator="equal">
      <formula>"已完成"</formula>
    </cfRule>
  </conditionalFormatting>
  <conditionalFormatting sqref="D23">
    <cfRule type="cellIs" dxfId="313" priority="11" operator="equal">
      <formula>"×"</formula>
    </cfRule>
    <cfRule type="cellIs" dxfId="312" priority="12" operator="equal">
      <formula>"√"</formula>
    </cfRule>
  </conditionalFormatting>
  <conditionalFormatting sqref="D24:D25 N24:N25">
    <cfRule type="cellIs" dxfId="311" priority="7" operator="equal">
      <formula>"×"</formula>
    </cfRule>
    <cfRule type="cellIs" dxfId="310" priority="8" operator="equal">
      <formula>"√"</formula>
    </cfRule>
  </conditionalFormatting>
  <conditionalFormatting sqref="L24:L25">
    <cfRule type="cellIs" dxfId="309" priority="5" operator="equal">
      <formula>"未完成"</formula>
    </cfRule>
    <cfRule type="cellIs" dxfId="308" priority="6" operator="equal">
      <formula>"已完成"</formula>
    </cfRule>
  </conditionalFormatting>
  <conditionalFormatting sqref="D26 N26">
    <cfRule type="cellIs" dxfId="307" priority="3" operator="equal">
      <formula>"×"</formula>
    </cfRule>
    <cfRule type="cellIs" dxfId="306" priority="4" operator="equal">
      <formula>"√"</formula>
    </cfRule>
  </conditionalFormatting>
  <conditionalFormatting sqref="L26">
    <cfRule type="cellIs" dxfId="305" priority="1" operator="equal">
      <formula>"未完成"</formula>
    </cfRule>
    <cfRule type="cellIs" dxfId="304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3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F6" sqref="F6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195" t="str">
        <f ca="1">TEXT(SheetName,"yyyyy-mm-dd   aaaa")&amp;"     播 出 科 值 班 日 志"</f>
        <v>空白表     播 出 科 值 班 日 志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7"/>
    </row>
    <row r="2" spans="1:18" ht="24" customHeight="1" x14ac:dyDescent="0.5">
      <c r="A2" s="77"/>
      <c r="B2" s="198" t="s">
        <v>56</v>
      </c>
      <c r="C2" s="199"/>
      <c r="D2" s="78" t="s">
        <v>103</v>
      </c>
      <c r="E2" s="198" t="s">
        <v>44</v>
      </c>
      <c r="F2" s="199"/>
      <c r="G2" s="200"/>
      <c r="H2" s="201"/>
      <c r="I2" s="202"/>
      <c r="J2" s="203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204" t="s">
        <v>9</v>
      </c>
      <c r="C3" s="206" t="s">
        <v>10</v>
      </c>
      <c r="D3" s="204" t="s">
        <v>11</v>
      </c>
      <c r="E3" s="208" t="s">
        <v>17</v>
      </c>
      <c r="F3" s="209"/>
      <c r="G3" s="208" t="s">
        <v>53</v>
      </c>
      <c r="H3" s="209"/>
      <c r="I3" s="204" t="s">
        <v>57</v>
      </c>
      <c r="J3" s="210" t="s">
        <v>8</v>
      </c>
      <c r="K3" s="211"/>
      <c r="L3" s="212" t="s">
        <v>14</v>
      </c>
      <c r="M3" s="84"/>
      <c r="N3" s="214" t="s">
        <v>97</v>
      </c>
      <c r="O3" s="216" t="s">
        <v>57</v>
      </c>
      <c r="P3" s="217"/>
      <c r="Q3" s="193" t="s">
        <v>16</v>
      </c>
    </row>
    <row r="4" spans="1:18" s="10" customFormat="1" ht="16.05" customHeight="1" x14ac:dyDescent="0.45">
      <c r="A4" s="85"/>
      <c r="B4" s="205"/>
      <c r="C4" s="207"/>
      <c r="D4" s="205"/>
      <c r="E4" s="86" t="s">
        <v>54</v>
      </c>
      <c r="F4" s="86" t="s">
        <v>55</v>
      </c>
      <c r="G4" s="87" t="s">
        <v>12</v>
      </c>
      <c r="H4" s="88" t="s">
        <v>13</v>
      </c>
      <c r="I4" s="205"/>
      <c r="J4" s="108" t="s">
        <v>12</v>
      </c>
      <c r="K4" s="108" t="s">
        <v>13</v>
      </c>
      <c r="L4" s="213"/>
      <c r="M4" s="89" t="s">
        <v>15</v>
      </c>
      <c r="N4" s="215"/>
      <c r="O4" s="218"/>
      <c r="P4" s="219"/>
      <c r="Q4" s="194"/>
    </row>
    <row r="5" spans="1:18" s="10" customFormat="1" ht="20" customHeight="1" x14ac:dyDescent="0.5">
      <c r="A5" s="114"/>
      <c r="B5" s="270" t="s">
        <v>96</v>
      </c>
      <c r="C5" s="271"/>
      <c r="D5" s="272"/>
      <c r="E5" s="126">
        <v>0.28472222222222221</v>
      </c>
      <c r="F5" s="127">
        <v>0.33333333333333331</v>
      </c>
      <c r="G5" s="268" t="str">
        <f>IF(L5="","",IF(G5="",$G$2,G5))</f>
        <v/>
      </c>
      <c r="H5" s="269"/>
      <c r="I5" s="268" t="str">
        <f ca="1">IF(L5="","",IF(I5="",TEXT(NOW(),"yyyy-mm-dd h:mm:ss"),I5))</f>
        <v/>
      </c>
      <c r="J5" s="273"/>
      <c r="K5" s="269"/>
      <c r="L5" s="33"/>
      <c r="M5" s="45" t="str">
        <f t="shared" ref="M5:M18" ca="1" si="0">IF(M5=0,"",IF(L5&lt;&gt;M5,L5,M5))</f>
        <v/>
      </c>
      <c r="N5" s="120" t="str">
        <f>IF(L5="未完成","×",IF(L5="已完成","√",""))</f>
        <v/>
      </c>
      <c r="O5" s="258" t="str">
        <f>IF(L5="","",IF(AND(TEXT(I5,"yyyymmddhhmmss")&gt;TEXT(SheetName,"yyyymmdd")&amp;TEXT(E5,"hhmmss"),TEXT(I5,"yyyymmddhhmmss")&lt;TEXT(SheetName,"yyyymmdd")&amp;TEXT(F5,"hhmmss")),"","超  时"))</f>
        <v/>
      </c>
      <c r="P5" s="259"/>
      <c r="Q5" s="121"/>
    </row>
    <row r="6" spans="1:18" s="8" customFormat="1" ht="20" customHeight="1" x14ac:dyDescent="0.5">
      <c r="A6" s="115"/>
      <c r="B6" s="128">
        <v>1</v>
      </c>
      <c r="C6" s="118" t="s">
        <v>48</v>
      </c>
      <c r="D6" s="129" t="s">
        <v>144</v>
      </c>
      <c r="E6" s="126">
        <v>0.28472222222222221</v>
      </c>
      <c r="F6" s="127">
        <v>0.5</v>
      </c>
      <c r="G6" s="118" t="str">
        <f t="shared" ref="G6" si="1">IF(L6="","",IF(G6="",$G$2,G6))</f>
        <v/>
      </c>
      <c r="H6" s="118" t="str">
        <f t="shared" ref="H6" ca="1" si="2">IF(L6="","",IF(H6="",TEXT(NOW(),"yyyy-mm-dd h:mm:ss"),H6))</f>
        <v/>
      </c>
      <c r="I6" s="130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118" t="str">
        <f t="shared" ref="J6" si="4">IF(L6 ="","",IF(L6&lt;&gt;M6,$G$2,J6))</f>
        <v/>
      </c>
      <c r="K6" s="118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22" t="str">
        <f t="shared" ref="N6" si="7">IF(L6="未完成","×",IF(L6="已完成","√",""))</f>
        <v/>
      </c>
      <c r="O6" s="258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59"/>
      <c r="Q6" s="123"/>
    </row>
    <row r="7" spans="1:18" s="8" customFormat="1" ht="20" customHeight="1" x14ac:dyDescent="0.5">
      <c r="A7" s="115"/>
      <c r="B7" s="128">
        <v>2</v>
      </c>
      <c r="C7" s="118" t="s">
        <v>48</v>
      </c>
      <c r="D7" s="129" t="s">
        <v>18</v>
      </c>
      <c r="E7" s="126">
        <v>0.28472222222222221</v>
      </c>
      <c r="F7" s="127">
        <v>0.5</v>
      </c>
      <c r="G7" s="118" t="str">
        <f t="shared" ref="G7:G18" si="9">IF(L7="","",IF(G7="",$G$2,G7))</f>
        <v/>
      </c>
      <c r="H7" s="118" t="str">
        <f t="shared" ref="H7:H18" ca="1" si="10">IF(L7="","",IF(H7="",TEXT(NOW(),"yyyy-mm-dd h:mm:ss"),H7))</f>
        <v/>
      </c>
      <c r="I7" s="130" t="str">
        <f t="shared" ref="I7:I18" si="11">IF(L7="","",IF(AND(TEXT(H7,"yyyymmddhhmmss")&gt;TEXT(SheetName,"yyyymmdd")&amp;TEXT(E7,"hhmmss"),TEXT(H7,"yyyymmddhhmmss")&lt;TEXT(SheetName,"yyyymmdd")&amp;TEXT(F7,"hhmmss")),"","超  时"))</f>
        <v/>
      </c>
      <c r="J7" s="118" t="str">
        <f t="shared" ref="J7:J18" si="12">IF(L7 ="","",IF(L7&lt;&gt;M7,$G$2,J7))</f>
        <v/>
      </c>
      <c r="K7" s="118" t="str">
        <f t="shared" ref="K7:K18" ca="1" si="13">IF(L7 = "","",IF(L7&lt;&gt;M7,TEXT(NOW(),"yyyy-mm-dd h:mm:ss"),K7))</f>
        <v/>
      </c>
      <c r="L7" s="18"/>
      <c r="M7" s="5" t="str">
        <f t="shared" ca="1" si="0"/>
        <v/>
      </c>
      <c r="N7" s="122" t="str">
        <f t="shared" ref="N7:N18" si="14">IF(L7="未完成","×",IF(L7="已完成","√",""))</f>
        <v/>
      </c>
      <c r="O7" s="258" t="str">
        <f t="shared" ref="O7:O18" si="15">IF(L7="","",IF(AND(TEXT(K7,"yyyymmddhhmmss")&gt;TEXT(SheetName,"yyyymmdd")&amp;TEXT(E7,"hhmmss"),TEXT(K7,"yyyymmddhhmmss")&lt;TEXT(SheetName,"yyyymmdd")&amp;TEXT(F7,"hhmmss")),"","超  时"))</f>
        <v/>
      </c>
      <c r="P7" s="259"/>
      <c r="Q7" s="123"/>
    </row>
    <row r="8" spans="1:18" s="2" customFormat="1" ht="20" customHeight="1" x14ac:dyDescent="0.5">
      <c r="A8" s="115"/>
      <c r="B8" s="128">
        <v>3</v>
      </c>
      <c r="C8" s="118" t="s">
        <v>48</v>
      </c>
      <c r="D8" s="129" t="s">
        <v>104</v>
      </c>
      <c r="E8" s="126">
        <v>0.28472222222222221</v>
      </c>
      <c r="F8" s="127">
        <v>0.5</v>
      </c>
      <c r="G8" s="118" t="str">
        <f t="shared" si="9"/>
        <v/>
      </c>
      <c r="H8" s="118" t="str">
        <f t="shared" ca="1" si="10"/>
        <v/>
      </c>
      <c r="I8" s="130" t="str">
        <f t="shared" si="11"/>
        <v/>
      </c>
      <c r="J8" s="118" t="str">
        <f t="shared" si="12"/>
        <v/>
      </c>
      <c r="K8" s="118" t="str">
        <f t="shared" ca="1" si="13"/>
        <v/>
      </c>
      <c r="L8" s="18"/>
      <c r="M8" s="5" t="str">
        <f t="shared" ca="1" si="0"/>
        <v/>
      </c>
      <c r="N8" s="122" t="str">
        <f t="shared" si="14"/>
        <v/>
      </c>
      <c r="O8" s="258" t="str">
        <f t="shared" si="15"/>
        <v/>
      </c>
      <c r="P8" s="259"/>
      <c r="Q8" s="123"/>
      <c r="R8" s="8"/>
    </row>
    <row r="9" spans="1:18" s="2" customFormat="1" ht="20" customHeight="1" x14ac:dyDescent="0.5">
      <c r="A9" s="115"/>
      <c r="B9" s="128">
        <v>4</v>
      </c>
      <c r="C9" s="118" t="s">
        <v>48</v>
      </c>
      <c r="D9" s="129" t="s">
        <v>105</v>
      </c>
      <c r="E9" s="126">
        <v>0.28472222222222221</v>
      </c>
      <c r="F9" s="127">
        <v>0.5</v>
      </c>
      <c r="G9" s="118" t="str">
        <f t="shared" si="9"/>
        <v/>
      </c>
      <c r="H9" s="118" t="str">
        <f t="shared" ca="1" si="10"/>
        <v/>
      </c>
      <c r="I9" s="130" t="str">
        <f t="shared" si="11"/>
        <v/>
      </c>
      <c r="J9" s="118" t="str">
        <f t="shared" si="12"/>
        <v/>
      </c>
      <c r="K9" s="118" t="str">
        <f t="shared" ca="1" si="13"/>
        <v/>
      </c>
      <c r="L9" s="18"/>
      <c r="M9" s="5" t="str">
        <f t="shared" ca="1" si="0"/>
        <v/>
      </c>
      <c r="N9" s="122" t="str">
        <f t="shared" si="14"/>
        <v/>
      </c>
      <c r="O9" s="258" t="str">
        <f t="shared" si="15"/>
        <v/>
      </c>
      <c r="P9" s="259"/>
      <c r="Q9" s="124"/>
      <c r="R9" s="8"/>
    </row>
    <row r="10" spans="1:18" s="2" customFormat="1" ht="20" customHeight="1" x14ac:dyDescent="0.5">
      <c r="A10" s="115"/>
      <c r="B10" s="128">
        <v>5</v>
      </c>
      <c r="C10" s="118" t="s">
        <v>48</v>
      </c>
      <c r="D10" s="129" t="s">
        <v>19</v>
      </c>
      <c r="E10" s="126">
        <v>0.28472222222222221</v>
      </c>
      <c r="F10" s="127">
        <v>0.5</v>
      </c>
      <c r="G10" s="118" t="str">
        <f t="shared" si="9"/>
        <v/>
      </c>
      <c r="H10" s="118" t="str">
        <f t="shared" ca="1" si="10"/>
        <v/>
      </c>
      <c r="I10" s="130" t="str">
        <f t="shared" si="11"/>
        <v/>
      </c>
      <c r="J10" s="118" t="str">
        <f t="shared" si="12"/>
        <v/>
      </c>
      <c r="K10" s="118" t="str">
        <f t="shared" ca="1" si="13"/>
        <v/>
      </c>
      <c r="L10" s="18"/>
      <c r="M10" s="5" t="str">
        <f t="shared" ca="1" si="0"/>
        <v/>
      </c>
      <c r="N10" s="122" t="str">
        <f t="shared" si="14"/>
        <v/>
      </c>
      <c r="O10" s="258" t="str">
        <f t="shared" si="15"/>
        <v/>
      </c>
      <c r="P10" s="259"/>
      <c r="Q10" s="125"/>
      <c r="R10" s="8"/>
    </row>
    <row r="11" spans="1:18" s="2" customFormat="1" ht="20" customHeight="1" x14ac:dyDescent="0.5">
      <c r="A11" s="116"/>
      <c r="B11" s="128">
        <v>6</v>
      </c>
      <c r="C11" s="118" t="s">
        <v>48</v>
      </c>
      <c r="D11" s="129" t="s">
        <v>20</v>
      </c>
      <c r="E11" s="126">
        <v>0.28472222222222221</v>
      </c>
      <c r="F11" s="127">
        <v>0.5</v>
      </c>
      <c r="G11" s="118" t="str">
        <f t="shared" si="9"/>
        <v/>
      </c>
      <c r="H11" s="118" t="str">
        <f t="shared" ca="1" si="10"/>
        <v/>
      </c>
      <c r="I11" s="130" t="str">
        <f t="shared" si="11"/>
        <v/>
      </c>
      <c r="J11" s="118" t="str">
        <f t="shared" si="12"/>
        <v/>
      </c>
      <c r="K11" s="118" t="str">
        <f t="shared" ca="1" si="13"/>
        <v/>
      </c>
      <c r="L11" s="18"/>
      <c r="M11" s="5" t="str">
        <f t="shared" ca="1" si="0"/>
        <v/>
      </c>
      <c r="N11" s="122" t="str">
        <f t="shared" si="14"/>
        <v/>
      </c>
      <c r="O11" s="258" t="str">
        <f t="shared" si="15"/>
        <v/>
      </c>
      <c r="P11" s="259"/>
      <c r="Q11" s="121"/>
      <c r="R11" s="8"/>
    </row>
    <row r="12" spans="1:18" s="2" customFormat="1" ht="20" customHeight="1" x14ac:dyDescent="0.5">
      <c r="A12" s="116" t="s">
        <v>143</v>
      </c>
      <c r="B12" s="128">
        <v>7</v>
      </c>
      <c r="C12" s="118" t="s">
        <v>48</v>
      </c>
      <c r="D12" s="129" t="s">
        <v>21</v>
      </c>
      <c r="E12" s="126">
        <v>0.28472222222222221</v>
      </c>
      <c r="F12" s="127">
        <v>0.5</v>
      </c>
      <c r="G12" s="118" t="str">
        <f t="shared" si="9"/>
        <v/>
      </c>
      <c r="H12" s="118" t="str">
        <f t="shared" ca="1" si="10"/>
        <v/>
      </c>
      <c r="I12" s="130" t="str">
        <f t="shared" si="11"/>
        <v/>
      </c>
      <c r="J12" s="118" t="str">
        <f t="shared" si="12"/>
        <v/>
      </c>
      <c r="K12" s="118" t="str">
        <f t="shared" ca="1" si="13"/>
        <v/>
      </c>
      <c r="L12" s="18"/>
      <c r="M12" s="5" t="str">
        <f t="shared" ca="1" si="0"/>
        <v/>
      </c>
      <c r="N12" s="122" t="str">
        <f t="shared" si="14"/>
        <v/>
      </c>
      <c r="O12" s="258" t="str">
        <f t="shared" si="15"/>
        <v/>
      </c>
      <c r="P12" s="259"/>
      <c r="Q12" s="121"/>
      <c r="R12" s="8"/>
    </row>
    <row r="13" spans="1:18" s="2" customFormat="1" ht="20" customHeight="1" x14ac:dyDescent="0.5">
      <c r="A13" s="116"/>
      <c r="B13" s="128">
        <v>8</v>
      </c>
      <c r="C13" s="118" t="s">
        <v>48</v>
      </c>
      <c r="D13" s="129" t="s">
        <v>22</v>
      </c>
      <c r="E13" s="126">
        <v>0.28472222222222221</v>
      </c>
      <c r="F13" s="127">
        <v>0.5</v>
      </c>
      <c r="G13" s="118" t="str">
        <f t="shared" si="9"/>
        <v/>
      </c>
      <c r="H13" s="118" t="str">
        <f t="shared" ca="1" si="10"/>
        <v/>
      </c>
      <c r="I13" s="130" t="str">
        <f t="shared" si="11"/>
        <v/>
      </c>
      <c r="J13" s="118" t="str">
        <f t="shared" si="12"/>
        <v/>
      </c>
      <c r="K13" s="118" t="str">
        <f t="shared" ca="1" si="13"/>
        <v/>
      </c>
      <c r="L13" s="18"/>
      <c r="M13" s="5" t="str">
        <f t="shared" ca="1" si="0"/>
        <v/>
      </c>
      <c r="N13" s="122" t="str">
        <f t="shared" si="14"/>
        <v/>
      </c>
      <c r="O13" s="258" t="str">
        <f t="shared" si="15"/>
        <v/>
      </c>
      <c r="P13" s="259"/>
      <c r="Q13" s="121"/>
      <c r="R13" s="8"/>
    </row>
    <row r="14" spans="1:18" s="2" customFormat="1" ht="20" customHeight="1" x14ac:dyDescent="0.5">
      <c r="A14" s="116"/>
      <c r="B14" s="128">
        <v>9</v>
      </c>
      <c r="C14" s="118" t="s">
        <v>48</v>
      </c>
      <c r="D14" s="129" t="s">
        <v>106</v>
      </c>
      <c r="E14" s="126">
        <v>0.28472222222222221</v>
      </c>
      <c r="F14" s="127">
        <v>0.5</v>
      </c>
      <c r="G14" s="118" t="str">
        <f t="shared" si="9"/>
        <v/>
      </c>
      <c r="H14" s="118" t="str">
        <f t="shared" ca="1" si="10"/>
        <v/>
      </c>
      <c r="I14" s="130" t="str">
        <f t="shared" si="11"/>
        <v/>
      </c>
      <c r="J14" s="118" t="str">
        <f t="shared" si="12"/>
        <v/>
      </c>
      <c r="K14" s="118" t="str">
        <f t="shared" ca="1" si="13"/>
        <v/>
      </c>
      <c r="L14" s="18"/>
      <c r="M14" s="5" t="str">
        <f t="shared" ca="1" si="0"/>
        <v/>
      </c>
      <c r="N14" s="122" t="str">
        <f t="shared" si="14"/>
        <v/>
      </c>
      <c r="O14" s="258" t="str">
        <f t="shared" si="15"/>
        <v/>
      </c>
      <c r="P14" s="259"/>
      <c r="Q14" s="121"/>
      <c r="R14" s="8" t="s">
        <v>52</v>
      </c>
    </row>
    <row r="15" spans="1:18" s="2" customFormat="1" ht="20" customHeight="1" x14ac:dyDescent="0.5">
      <c r="A15" s="116"/>
      <c r="B15" s="128">
        <v>10</v>
      </c>
      <c r="C15" s="118" t="s">
        <v>48</v>
      </c>
      <c r="D15" s="129" t="s">
        <v>145</v>
      </c>
      <c r="E15" s="126">
        <v>0.28472222222222221</v>
      </c>
      <c r="F15" s="127">
        <v>0.5</v>
      </c>
      <c r="G15" s="118" t="str">
        <f t="shared" ref="G15" si="16">IF(L15="","",IF(G15="",$G$2,G15))</f>
        <v/>
      </c>
      <c r="H15" s="118" t="str">
        <f t="shared" ref="H15" ca="1" si="17">IF(L15="","",IF(H15="",TEXT(NOW(),"yyyy-mm-dd h:mm:ss"),H15))</f>
        <v/>
      </c>
      <c r="I15" s="130" t="str">
        <f t="shared" ref="I15" si="18">IF(L15="","",IF(AND(TEXT(H15,"yyyymmddhhmmss")&gt;TEXT(SheetName,"yyyymmdd")&amp;TEXT(E15,"hhmmss"),TEXT(H15,"yyyymmddhhmmss")&lt;TEXT(SheetName,"yyyymmdd")&amp;TEXT(F15,"hhmmss")),"","超  时"))</f>
        <v/>
      </c>
      <c r="J15" s="118" t="str">
        <f t="shared" ref="J15" si="19">IF(L15 ="","",IF(L15&lt;&gt;M15,$G$2,J15))</f>
        <v/>
      </c>
      <c r="K15" s="118" t="str">
        <f t="shared" ref="K15" ca="1" si="20">IF(L15 = "","",IF(L15&lt;&gt;M15,TEXT(NOW(),"yyyy-mm-dd h:mm:ss"),K15))</f>
        <v/>
      </c>
      <c r="L15" s="18"/>
      <c r="M15" s="5" t="str">
        <f t="shared" ref="M15" ca="1" si="21">IF(M15=0,"",IF(L15&lt;&gt;M15,L15,M15))</f>
        <v/>
      </c>
      <c r="N15" s="122" t="str">
        <f t="shared" ref="N15" si="22">IF(L15="未完成","×",IF(L15="已完成","√",""))</f>
        <v/>
      </c>
      <c r="O15" s="258" t="str">
        <f t="shared" ref="O15" si="23">IF(L15="","",IF(AND(TEXT(K15,"yyyymmddhhmmss")&gt;TEXT(SheetName,"yyyymmdd")&amp;TEXT(E15,"hhmmss"),TEXT(K15,"yyyymmddhhmmss")&lt;TEXT(SheetName,"yyyymmdd")&amp;TEXT(F15,"hhmmss")),"","超  时"))</f>
        <v/>
      </c>
      <c r="P15" s="259"/>
      <c r="Q15" s="121"/>
      <c r="R15" s="8" t="s">
        <v>52</v>
      </c>
    </row>
    <row r="16" spans="1:18" s="2" customFormat="1" ht="20" customHeight="1" x14ac:dyDescent="0.5">
      <c r="A16" s="115"/>
      <c r="B16" s="128">
        <v>11</v>
      </c>
      <c r="C16" s="118" t="s">
        <v>49</v>
      </c>
      <c r="D16" s="129" t="s">
        <v>146</v>
      </c>
      <c r="E16" s="126">
        <v>0.28472222222222221</v>
      </c>
      <c r="F16" s="127">
        <v>0.5</v>
      </c>
      <c r="G16" s="118" t="str">
        <f t="shared" si="9"/>
        <v/>
      </c>
      <c r="H16" s="118" t="str">
        <f t="shared" ca="1" si="10"/>
        <v/>
      </c>
      <c r="I16" s="130" t="str">
        <f t="shared" si="11"/>
        <v/>
      </c>
      <c r="J16" s="118" t="str">
        <f t="shared" si="12"/>
        <v/>
      </c>
      <c r="K16" s="118" t="str">
        <f t="shared" ca="1" si="13"/>
        <v/>
      </c>
      <c r="L16" s="18"/>
      <c r="M16" s="5" t="str">
        <f t="shared" ca="1" si="0"/>
        <v/>
      </c>
      <c r="N16" s="122" t="str">
        <f t="shared" si="14"/>
        <v/>
      </c>
      <c r="O16" s="258" t="str">
        <f t="shared" si="15"/>
        <v/>
      </c>
      <c r="P16" s="259"/>
      <c r="Q16" s="121"/>
      <c r="R16" s="8"/>
    </row>
    <row r="17" spans="1:22" s="2" customFormat="1" ht="20" customHeight="1" x14ac:dyDescent="0.5">
      <c r="A17" s="115"/>
      <c r="B17" s="128">
        <v>12</v>
      </c>
      <c r="C17" s="118" t="s">
        <v>49</v>
      </c>
      <c r="D17" s="129" t="s">
        <v>147</v>
      </c>
      <c r="E17" s="126">
        <v>0.28472222222222221</v>
      </c>
      <c r="F17" s="127">
        <v>0.5</v>
      </c>
      <c r="G17" s="118" t="str">
        <f t="shared" si="9"/>
        <v/>
      </c>
      <c r="H17" s="118" t="str">
        <f t="shared" ca="1" si="10"/>
        <v/>
      </c>
      <c r="I17" s="130" t="str">
        <f t="shared" si="11"/>
        <v/>
      </c>
      <c r="J17" s="118" t="str">
        <f t="shared" si="12"/>
        <v/>
      </c>
      <c r="K17" s="118" t="str">
        <f t="shared" ca="1" si="13"/>
        <v/>
      </c>
      <c r="L17" s="18"/>
      <c r="M17" s="5" t="str">
        <f t="shared" ca="1" si="0"/>
        <v/>
      </c>
      <c r="N17" s="122" t="str">
        <f t="shared" si="14"/>
        <v/>
      </c>
      <c r="O17" s="258" t="str">
        <f t="shared" si="15"/>
        <v/>
      </c>
      <c r="P17" s="259"/>
      <c r="Q17" s="121"/>
      <c r="R17" s="8"/>
    </row>
    <row r="18" spans="1:22" s="2" customFormat="1" ht="20" customHeight="1" x14ac:dyDescent="0.5">
      <c r="A18" s="115"/>
      <c r="B18" s="128">
        <v>13</v>
      </c>
      <c r="C18" s="118" t="s">
        <v>49</v>
      </c>
      <c r="D18" s="129" t="s">
        <v>148</v>
      </c>
      <c r="E18" s="126">
        <v>0.28472222222222221</v>
      </c>
      <c r="F18" s="127">
        <v>0.5</v>
      </c>
      <c r="G18" s="118" t="str">
        <f t="shared" si="9"/>
        <v/>
      </c>
      <c r="H18" s="118" t="str">
        <f t="shared" ca="1" si="10"/>
        <v/>
      </c>
      <c r="I18" s="130" t="str">
        <f t="shared" si="11"/>
        <v/>
      </c>
      <c r="J18" s="118" t="str">
        <f t="shared" si="12"/>
        <v/>
      </c>
      <c r="K18" s="118" t="str">
        <f t="shared" ca="1" si="13"/>
        <v/>
      </c>
      <c r="L18" s="18"/>
      <c r="M18" s="5" t="str">
        <f t="shared" ca="1" si="0"/>
        <v/>
      </c>
      <c r="N18" s="122" t="str">
        <f t="shared" si="14"/>
        <v/>
      </c>
      <c r="O18" s="258" t="str">
        <f t="shared" si="15"/>
        <v/>
      </c>
      <c r="P18" s="259"/>
      <c r="Q18" s="121"/>
      <c r="R18" s="8"/>
      <c r="V18" s="53"/>
    </row>
    <row r="19" spans="1:22" s="2" customFormat="1" ht="20" customHeight="1" x14ac:dyDescent="0.5">
      <c r="A19" s="115"/>
      <c r="B19" s="178" t="s">
        <v>80</v>
      </c>
      <c r="C19" s="179"/>
      <c r="D19" s="46" t="s">
        <v>127</v>
      </c>
      <c r="E19" s="180" t="s">
        <v>73</v>
      </c>
      <c r="F19" s="181"/>
      <c r="G19" s="90" t="s">
        <v>74</v>
      </c>
      <c r="H19" s="180" t="s">
        <v>78</v>
      </c>
      <c r="I19" s="181"/>
      <c r="J19" s="90" t="s">
        <v>79</v>
      </c>
      <c r="K19" s="107" t="s">
        <v>81</v>
      </c>
      <c r="L19" s="180" t="s">
        <v>71</v>
      </c>
      <c r="M19" s="182"/>
      <c r="N19" s="182"/>
      <c r="O19" s="182"/>
      <c r="P19" s="181"/>
      <c r="Q19" s="91" t="s">
        <v>72</v>
      </c>
      <c r="R19" s="8"/>
    </row>
    <row r="20" spans="1:22" s="2" customFormat="1" ht="30" customHeight="1" x14ac:dyDescent="0.5">
      <c r="A20" s="115"/>
      <c r="B20" s="268" t="s">
        <v>75</v>
      </c>
      <c r="C20" s="269"/>
      <c r="D20" s="51"/>
      <c r="E20" s="168"/>
      <c r="F20" s="169"/>
      <c r="G20" s="52"/>
      <c r="H20" s="185"/>
      <c r="I20" s="186"/>
      <c r="J20" s="118" t="str">
        <f>IF(L20 ="","",IF(L20&lt;&gt;M20,$G$2,J20))</f>
        <v/>
      </c>
      <c r="K20" s="119" t="str">
        <f ca="1">IF(L20 = "","",IF(L20&lt;&gt;M20,TEXT(NOW(),"yyyy-mm-dd h:mm:ss"),K20))</f>
        <v/>
      </c>
      <c r="L20" s="18"/>
      <c r="M20" s="71" t="str">
        <f t="shared" ref="M20:M21" ca="1" si="24">IF(M20=0,"",IF(L20&lt;&gt;M20,L20,M20))</f>
        <v/>
      </c>
      <c r="N20" s="263" t="str">
        <f>IF(L20="未完成","×",IF(L20="已完成","√",""))</f>
        <v/>
      </c>
      <c r="O20" s="264"/>
      <c r="P20" s="265"/>
      <c r="Q20" s="110"/>
      <c r="R20" s="8"/>
    </row>
    <row r="21" spans="1:22" s="2" customFormat="1" ht="30" customHeight="1" x14ac:dyDescent="0.5">
      <c r="A21" s="115"/>
      <c r="B21" s="268" t="s">
        <v>76</v>
      </c>
      <c r="C21" s="269"/>
      <c r="D21" s="51"/>
      <c r="E21" s="168"/>
      <c r="F21" s="169"/>
      <c r="G21" s="52"/>
      <c r="H21" s="185"/>
      <c r="I21" s="186"/>
      <c r="J21" s="118" t="str">
        <f t="shared" ref="J21" si="25">IF(L21 ="","",IF(L21&lt;&gt;M21,$G$2,J21))</f>
        <v/>
      </c>
      <c r="K21" s="119" t="str">
        <f ca="1">IF(L21 = "","",IF(L21&lt;&gt;M21,TEXT(NOW(),"yyyy-mm-dd h:mm:ss"),K21))</f>
        <v/>
      </c>
      <c r="L21" s="18"/>
      <c r="M21" s="45" t="str">
        <f t="shared" ca="1" si="24"/>
        <v/>
      </c>
      <c r="N21" s="266" t="str">
        <f>IF(L21="未完成","×",IF(L21="已完成","√",""))</f>
        <v/>
      </c>
      <c r="O21" s="266"/>
      <c r="P21" s="267"/>
      <c r="Q21" s="111"/>
      <c r="R21" s="8"/>
    </row>
    <row r="22" spans="1:22" s="2" customFormat="1" ht="20" customHeight="1" x14ac:dyDescent="0.5">
      <c r="A22" s="115"/>
      <c r="B22" s="178" t="s">
        <v>114</v>
      </c>
      <c r="C22" s="179"/>
      <c r="D22" s="46" t="s">
        <v>77</v>
      </c>
      <c r="E22" s="180" t="s">
        <v>69</v>
      </c>
      <c r="F22" s="181"/>
      <c r="G22" s="90" t="s">
        <v>74</v>
      </c>
      <c r="H22" s="90" t="s">
        <v>113</v>
      </c>
      <c r="I22" s="90" t="s">
        <v>112</v>
      </c>
      <c r="J22" s="90" t="s">
        <v>79</v>
      </c>
      <c r="K22" s="107" t="s">
        <v>81</v>
      </c>
      <c r="L22" s="180" t="s">
        <v>71</v>
      </c>
      <c r="M22" s="182"/>
      <c r="N22" s="182"/>
      <c r="O22" s="182"/>
      <c r="P22" s="181"/>
      <c r="Q22" s="91" t="s">
        <v>72</v>
      </c>
      <c r="R22" s="8"/>
    </row>
    <row r="23" spans="1:22" s="2" customFormat="1" ht="20" customHeight="1" x14ac:dyDescent="0.5">
      <c r="A23" s="115"/>
      <c r="B23" s="260" t="s">
        <v>115</v>
      </c>
      <c r="C23" s="95"/>
      <c r="D23" s="51"/>
      <c r="E23" s="168"/>
      <c r="F23" s="169"/>
      <c r="G23" s="52"/>
      <c r="H23" s="109" t="str">
        <f ca="1">IF(I23 = "", "", TEXT(NOW(),"yy-mm-dd hh:mm:ss"))</f>
        <v/>
      </c>
      <c r="I23" s="94"/>
      <c r="J23" s="112" t="s">
        <v>110</v>
      </c>
      <c r="K23" s="113" t="str">
        <f ca="1">IF(L23 = "","",IF(L23&lt;&gt;M23,TEXT(NOW(),"yyyy-mm-dd h:mm:ss"),K23))</f>
        <v/>
      </c>
      <c r="L23" s="18"/>
      <c r="M23" s="71" t="s">
        <v>110</v>
      </c>
      <c r="N23" s="263" t="s">
        <v>110</v>
      </c>
      <c r="O23" s="264"/>
      <c r="P23" s="265"/>
      <c r="Q23" s="110"/>
      <c r="R23" s="8"/>
    </row>
    <row r="24" spans="1:22" s="2" customFormat="1" ht="20" customHeight="1" x14ac:dyDescent="0.5">
      <c r="A24" s="115"/>
      <c r="B24" s="261"/>
      <c r="C24" s="95"/>
      <c r="D24" s="51"/>
      <c r="E24" s="168"/>
      <c r="F24" s="169"/>
      <c r="G24" s="52"/>
      <c r="H24" s="109" t="str">
        <f t="shared" ref="H24:H25" ca="1" si="26">IF(I24 = "", "", TEXT(NOW(),"yy-mm-dd hh:mm:ss"))</f>
        <v/>
      </c>
      <c r="I24" s="94"/>
      <c r="J24" s="112" t="s">
        <v>110</v>
      </c>
      <c r="K24" s="113" t="str">
        <f t="shared" ref="K24:K25" ca="1" si="27">IF(L24 = "","",IF(L24&lt;&gt;M24,TEXT(NOW(),"yyyy-mm-dd h:mm:ss"),K24))</f>
        <v/>
      </c>
      <c r="L24" s="18"/>
      <c r="M24" s="45" t="s">
        <v>110</v>
      </c>
      <c r="N24" s="266" t="s">
        <v>110</v>
      </c>
      <c r="O24" s="266"/>
      <c r="P24" s="267"/>
      <c r="Q24" s="111"/>
      <c r="R24" s="8"/>
    </row>
    <row r="25" spans="1:22" s="2" customFormat="1" ht="20" customHeight="1" x14ac:dyDescent="0.5">
      <c r="A25" s="115"/>
      <c r="B25" s="262"/>
      <c r="C25" s="95"/>
      <c r="D25" s="51"/>
      <c r="E25" s="168"/>
      <c r="F25" s="169"/>
      <c r="G25" s="52"/>
      <c r="H25" s="109" t="str">
        <f t="shared" ca="1" si="26"/>
        <v/>
      </c>
      <c r="I25" s="94"/>
      <c r="J25" s="112" t="s">
        <v>110</v>
      </c>
      <c r="K25" s="113" t="str">
        <f t="shared" ca="1" si="27"/>
        <v/>
      </c>
      <c r="L25" s="18"/>
      <c r="M25" s="71" t="s">
        <v>110</v>
      </c>
      <c r="N25" s="263" t="s">
        <v>110</v>
      </c>
      <c r="O25" s="264"/>
      <c r="P25" s="265"/>
      <c r="Q25" s="110"/>
      <c r="R25" s="8"/>
    </row>
    <row r="26" spans="1:22" s="2" customFormat="1" ht="40.049999999999997" customHeight="1" x14ac:dyDescent="0.5">
      <c r="A26" s="115"/>
      <c r="B26" s="256" t="s">
        <v>116</v>
      </c>
      <c r="C26" s="156"/>
      <c r="D26" s="157"/>
      <c r="E26" s="157"/>
      <c r="F26" s="157"/>
      <c r="G26" s="157"/>
      <c r="H26" s="158"/>
      <c r="I26" s="96" t="s">
        <v>118</v>
      </c>
      <c r="J26" s="162"/>
      <c r="K26" s="163"/>
      <c r="L26" s="163"/>
      <c r="M26" s="163"/>
      <c r="N26" s="163"/>
      <c r="O26" s="163"/>
      <c r="P26" s="163"/>
      <c r="Q26" s="164"/>
    </row>
    <row r="27" spans="1:22" s="2" customFormat="1" ht="40.15" customHeight="1" x14ac:dyDescent="0.5">
      <c r="A27" s="117"/>
      <c r="B27" s="257"/>
      <c r="C27" s="159"/>
      <c r="D27" s="160"/>
      <c r="E27" s="160"/>
      <c r="F27" s="160"/>
      <c r="G27" s="160"/>
      <c r="H27" s="161"/>
      <c r="I27" s="97" t="s">
        <v>117</v>
      </c>
      <c r="J27" s="165"/>
      <c r="K27" s="166"/>
      <c r="L27" s="166"/>
      <c r="M27" s="166"/>
      <c r="N27" s="166"/>
      <c r="O27" s="166"/>
      <c r="P27" s="166"/>
      <c r="Q27" s="167"/>
    </row>
    <row r="28" spans="1:22" s="8" customFormat="1" ht="20" hidden="1" customHeight="1" x14ac:dyDescent="0.5">
      <c r="A28" s="20"/>
      <c r="B28" s="28"/>
      <c r="C28" s="22"/>
      <c r="D28" s="16"/>
      <c r="E28" s="22"/>
      <c r="F28" s="22"/>
      <c r="G28" s="22"/>
      <c r="H28" s="22"/>
      <c r="I28" s="22"/>
      <c r="J28" s="22"/>
      <c r="K28" s="22"/>
      <c r="L28" s="29"/>
      <c r="M28" s="7"/>
      <c r="N28" s="14"/>
      <c r="O28" s="40"/>
      <c r="P28" s="9"/>
      <c r="Q28" s="7"/>
    </row>
    <row r="29" spans="1:22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22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22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22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17.649999999999999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ht="22.9" hidden="1" customHeight="1" x14ac:dyDescent="0.5"/>
    <row r="93" spans="1:17" ht="22.9" hidden="1" customHeight="1" x14ac:dyDescent="0.5"/>
  </sheetData>
  <sheetProtection sheet="1" objects="1" scenarios="1"/>
  <dataConsolidate/>
  <mergeCells count="59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4:P14"/>
    <mergeCell ref="B5:D5"/>
    <mergeCell ref="G5:H5"/>
    <mergeCell ref="I5:K5"/>
    <mergeCell ref="O5:P5"/>
    <mergeCell ref="O7:P7"/>
    <mergeCell ref="O8:P8"/>
    <mergeCell ref="O9:P9"/>
    <mergeCell ref="O10:P10"/>
    <mergeCell ref="O11:P11"/>
    <mergeCell ref="O12:P12"/>
    <mergeCell ref="O13:P13"/>
    <mergeCell ref="O16:P16"/>
    <mergeCell ref="O17:P17"/>
    <mergeCell ref="O18:P18"/>
    <mergeCell ref="B19:C19"/>
    <mergeCell ref="E19:F19"/>
    <mergeCell ref="H19:I19"/>
    <mergeCell ref="L19:P19"/>
    <mergeCell ref="B20:C20"/>
    <mergeCell ref="E20:F20"/>
    <mergeCell ref="H20:I20"/>
    <mergeCell ref="N20:P20"/>
    <mergeCell ref="B21:C21"/>
    <mergeCell ref="E21:F21"/>
    <mergeCell ref="H21:I21"/>
    <mergeCell ref="N21:P21"/>
    <mergeCell ref="B26:B27"/>
    <mergeCell ref="C26:H27"/>
    <mergeCell ref="J26:Q26"/>
    <mergeCell ref="J27:Q27"/>
    <mergeCell ref="O6:P6"/>
    <mergeCell ref="O15:P15"/>
    <mergeCell ref="B22:C22"/>
    <mergeCell ref="E22:F22"/>
    <mergeCell ref="L22:P22"/>
    <mergeCell ref="B23:B25"/>
    <mergeCell ref="E23:F23"/>
    <mergeCell ref="N23:P23"/>
    <mergeCell ref="E24:F24"/>
    <mergeCell ref="N24:P24"/>
    <mergeCell ref="E25:F25"/>
    <mergeCell ref="N25:P25"/>
  </mergeCells>
  <phoneticPr fontId="1" type="noConversion"/>
  <conditionalFormatting sqref="N29:O29">
    <cfRule type="cellIs" dxfId="303" priority="303" operator="equal">
      <formula>"×"</formula>
    </cfRule>
    <cfRule type="cellIs" dxfId="302" priority="304" operator="equal">
      <formula>"√"</formula>
    </cfRule>
  </conditionalFormatting>
  <conditionalFormatting sqref="L29">
    <cfRule type="cellIs" dxfId="301" priority="301" operator="equal">
      <formula>"未完成"</formula>
    </cfRule>
    <cfRule type="cellIs" dxfId="300" priority="302" operator="equal">
      <formula>"已完成"</formula>
    </cfRule>
  </conditionalFormatting>
  <conditionalFormatting sqref="N8:N17">
    <cfRule type="cellIs" dxfId="299" priority="299" operator="equal">
      <formula>"×"</formula>
    </cfRule>
    <cfRule type="cellIs" dxfId="298" priority="300" operator="equal">
      <formula>"√"</formula>
    </cfRule>
  </conditionalFormatting>
  <conditionalFormatting sqref="L8:L17">
    <cfRule type="cellIs" dxfId="297" priority="297" operator="equal">
      <formula>"未完成"</formula>
    </cfRule>
    <cfRule type="cellIs" dxfId="296" priority="298" operator="equal">
      <formula>"已完成"</formula>
    </cfRule>
  </conditionalFormatting>
  <conditionalFormatting sqref="D20:D21 N20:N21">
    <cfRule type="cellIs" dxfId="295" priority="295" operator="equal">
      <formula>"×"</formula>
    </cfRule>
    <cfRule type="cellIs" dxfId="294" priority="296" operator="equal">
      <formula>"√"</formula>
    </cfRule>
  </conditionalFormatting>
  <conditionalFormatting sqref="L20:L21">
    <cfRule type="cellIs" dxfId="293" priority="293" operator="equal">
      <formula>"未完成"</formula>
    </cfRule>
    <cfRule type="cellIs" dxfId="292" priority="294" operator="equal">
      <formula>"已完成"</formula>
    </cfRule>
  </conditionalFormatting>
  <conditionalFormatting sqref="L19">
    <cfRule type="cellIs" dxfId="291" priority="289" operator="equal">
      <formula>"未完成"</formula>
    </cfRule>
    <cfRule type="cellIs" dxfId="290" priority="290" operator="equal">
      <formula>"已完成"</formula>
    </cfRule>
  </conditionalFormatting>
  <conditionalFormatting sqref="D19">
    <cfRule type="cellIs" dxfId="289" priority="291" operator="equal">
      <formula>"×"</formula>
    </cfRule>
    <cfRule type="cellIs" dxfId="288" priority="292" operator="equal">
      <formula>"√"</formula>
    </cfRule>
  </conditionalFormatting>
  <conditionalFormatting sqref="I8:I17">
    <cfRule type="cellIs" dxfId="287" priority="287" operator="equal">
      <formula>"×"</formula>
    </cfRule>
    <cfRule type="cellIs" dxfId="286" priority="288" operator="equal">
      <formula>"√"</formula>
    </cfRule>
  </conditionalFormatting>
  <conditionalFormatting sqref="O8:O17">
    <cfRule type="cellIs" dxfId="285" priority="285" operator="equal">
      <formula>"×"</formula>
    </cfRule>
    <cfRule type="cellIs" dxfId="284" priority="286" operator="equal">
      <formula>"√"</formula>
    </cfRule>
  </conditionalFormatting>
  <conditionalFormatting sqref="N5:O5">
    <cfRule type="cellIs" dxfId="283" priority="283" operator="equal">
      <formula>"×"</formula>
    </cfRule>
    <cfRule type="cellIs" dxfId="282" priority="284" operator="equal">
      <formula>"√"</formula>
    </cfRule>
  </conditionalFormatting>
  <conditionalFormatting sqref="L5">
    <cfRule type="cellIs" dxfId="281" priority="281" operator="equal">
      <formula>"未完成"</formula>
    </cfRule>
    <cfRule type="cellIs" dxfId="280" priority="282" operator="equal">
      <formula>"已完成"</formula>
    </cfRule>
  </conditionalFormatting>
  <conditionalFormatting sqref="N6:N7">
    <cfRule type="cellIs" dxfId="279" priority="279" operator="equal">
      <formula>"×"</formula>
    </cfRule>
    <cfRule type="cellIs" dxfId="278" priority="280" operator="equal">
      <formula>"√"</formula>
    </cfRule>
  </conditionalFormatting>
  <conditionalFormatting sqref="L6:L7">
    <cfRule type="cellIs" dxfId="277" priority="277" operator="equal">
      <formula>"未完成"</formula>
    </cfRule>
    <cfRule type="cellIs" dxfId="276" priority="278" operator="equal">
      <formula>"已完成"</formula>
    </cfRule>
  </conditionalFormatting>
  <conditionalFormatting sqref="I6:I7">
    <cfRule type="cellIs" dxfId="275" priority="275" operator="equal">
      <formula>"×"</formula>
    </cfRule>
    <cfRule type="cellIs" dxfId="274" priority="276" operator="equal">
      <formula>"√"</formula>
    </cfRule>
  </conditionalFormatting>
  <conditionalFormatting sqref="O6:O7">
    <cfRule type="cellIs" dxfId="273" priority="273" operator="equal">
      <formula>"×"</formula>
    </cfRule>
    <cfRule type="cellIs" dxfId="272" priority="274" operator="equal">
      <formula>"√"</formula>
    </cfRule>
  </conditionalFormatting>
  <conditionalFormatting sqref="N18">
    <cfRule type="cellIs" dxfId="271" priority="271" operator="equal">
      <formula>"×"</formula>
    </cfRule>
    <cfRule type="cellIs" dxfId="270" priority="272" operator="equal">
      <formula>"√"</formula>
    </cfRule>
  </conditionalFormatting>
  <conditionalFormatting sqref="L18">
    <cfRule type="cellIs" dxfId="269" priority="269" operator="equal">
      <formula>"未完成"</formula>
    </cfRule>
    <cfRule type="cellIs" dxfId="268" priority="270" operator="equal">
      <formula>"已完成"</formula>
    </cfRule>
  </conditionalFormatting>
  <conditionalFormatting sqref="I18">
    <cfRule type="cellIs" dxfId="267" priority="267" operator="equal">
      <formula>"×"</formula>
    </cfRule>
    <cfRule type="cellIs" dxfId="266" priority="268" operator="equal">
      <formula>"√"</formula>
    </cfRule>
  </conditionalFormatting>
  <conditionalFormatting sqref="O18">
    <cfRule type="cellIs" dxfId="265" priority="265" operator="equal">
      <formula>"×"</formula>
    </cfRule>
    <cfRule type="cellIs" dxfId="264" priority="266" operator="equal">
      <formula>"√"</formula>
    </cfRule>
  </conditionalFormatting>
  <conditionalFormatting sqref="N30:O30">
    <cfRule type="cellIs" dxfId="263" priority="263" operator="equal">
      <formula>"×"</formula>
    </cfRule>
    <cfRule type="cellIs" dxfId="262" priority="264" operator="equal">
      <formula>"√"</formula>
    </cfRule>
  </conditionalFormatting>
  <conditionalFormatting sqref="L30">
    <cfRule type="cellIs" dxfId="261" priority="261" operator="equal">
      <formula>"未完成"</formula>
    </cfRule>
    <cfRule type="cellIs" dxfId="260" priority="262" operator="equal">
      <formula>"已完成"</formula>
    </cfRule>
  </conditionalFormatting>
  <conditionalFormatting sqref="N31:O31">
    <cfRule type="cellIs" dxfId="259" priority="259" operator="equal">
      <formula>"×"</formula>
    </cfRule>
    <cfRule type="cellIs" dxfId="258" priority="260" operator="equal">
      <formula>"√"</formula>
    </cfRule>
  </conditionalFormatting>
  <conditionalFormatting sqref="L31">
    <cfRule type="cellIs" dxfId="257" priority="257" operator="equal">
      <formula>"未完成"</formula>
    </cfRule>
    <cfRule type="cellIs" dxfId="256" priority="258" operator="equal">
      <formula>"已完成"</formula>
    </cfRule>
  </conditionalFormatting>
  <conditionalFormatting sqref="N32:O32">
    <cfRule type="cellIs" dxfId="255" priority="255" operator="equal">
      <formula>"×"</formula>
    </cfRule>
    <cfRule type="cellIs" dxfId="254" priority="256" operator="equal">
      <formula>"√"</formula>
    </cfRule>
  </conditionalFormatting>
  <conditionalFormatting sqref="L32">
    <cfRule type="cellIs" dxfId="253" priority="253" operator="equal">
      <formula>"未完成"</formula>
    </cfRule>
    <cfRule type="cellIs" dxfId="252" priority="254" operator="equal">
      <formula>"已完成"</formula>
    </cfRule>
  </conditionalFormatting>
  <conditionalFormatting sqref="N33:O33">
    <cfRule type="cellIs" dxfId="251" priority="251" operator="equal">
      <formula>"×"</formula>
    </cfRule>
    <cfRule type="cellIs" dxfId="250" priority="252" operator="equal">
      <formula>"√"</formula>
    </cfRule>
  </conditionalFormatting>
  <conditionalFormatting sqref="L33">
    <cfRule type="cellIs" dxfId="249" priority="249" operator="equal">
      <formula>"未完成"</formula>
    </cfRule>
    <cfRule type="cellIs" dxfId="248" priority="250" operator="equal">
      <formula>"已完成"</formula>
    </cfRule>
  </conditionalFormatting>
  <conditionalFormatting sqref="N34:O34">
    <cfRule type="cellIs" dxfId="247" priority="247" operator="equal">
      <formula>"×"</formula>
    </cfRule>
    <cfRule type="cellIs" dxfId="246" priority="248" operator="equal">
      <formula>"√"</formula>
    </cfRule>
  </conditionalFormatting>
  <conditionalFormatting sqref="L34">
    <cfRule type="cellIs" dxfId="245" priority="245" operator="equal">
      <formula>"未完成"</formula>
    </cfRule>
    <cfRule type="cellIs" dxfId="244" priority="246" operator="equal">
      <formula>"已完成"</formula>
    </cfRule>
  </conditionalFormatting>
  <conditionalFormatting sqref="N35:O35">
    <cfRule type="cellIs" dxfId="243" priority="243" operator="equal">
      <formula>"×"</formula>
    </cfRule>
    <cfRule type="cellIs" dxfId="242" priority="244" operator="equal">
      <formula>"√"</formula>
    </cfRule>
  </conditionalFormatting>
  <conditionalFormatting sqref="L35">
    <cfRule type="cellIs" dxfId="241" priority="241" operator="equal">
      <formula>"未完成"</formula>
    </cfRule>
    <cfRule type="cellIs" dxfId="240" priority="242" operator="equal">
      <formula>"已完成"</formula>
    </cfRule>
  </conditionalFormatting>
  <conditionalFormatting sqref="N36:O36">
    <cfRule type="cellIs" dxfId="239" priority="239" operator="equal">
      <formula>"×"</formula>
    </cfRule>
    <cfRule type="cellIs" dxfId="238" priority="240" operator="equal">
      <formula>"√"</formula>
    </cfRule>
  </conditionalFormatting>
  <conditionalFormatting sqref="L36">
    <cfRule type="cellIs" dxfId="237" priority="237" operator="equal">
      <formula>"未完成"</formula>
    </cfRule>
    <cfRule type="cellIs" dxfId="236" priority="238" operator="equal">
      <formula>"已完成"</formula>
    </cfRule>
  </conditionalFormatting>
  <conditionalFormatting sqref="N37:O37">
    <cfRule type="cellIs" dxfId="235" priority="235" operator="equal">
      <formula>"×"</formula>
    </cfRule>
    <cfRule type="cellIs" dxfId="234" priority="236" operator="equal">
      <formula>"√"</formula>
    </cfRule>
  </conditionalFormatting>
  <conditionalFormatting sqref="L37">
    <cfRule type="cellIs" dxfId="233" priority="233" operator="equal">
      <formula>"未完成"</formula>
    </cfRule>
    <cfRule type="cellIs" dxfId="232" priority="234" operator="equal">
      <formula>"已完成"</formula>
    </cfRule>
  </conditionalFormatting>
  <conditionalFormatting sqref="N38:O38">
    <cfRule type="cellIs" dxfId="231" priority="231" operator="equal">
      <formula>"×"</formula>
    </cfRule>
    <cfRule type="cellIs" dxfId="230" priority="232" operator="equal">
      <formula>"√"</formula>
    </cfRule>
  </conditionalFormatting>
  <conditionalFormatting sqref="L38">
    <cfRule type="cellIs" dxfId="229" priority="229" operator="equal">
      <formula>"未完成"</formula>
    </cfRule>
    <cfRule type="cellIs" dxfId="228" priority="230" operator="equal">
      <formula>"已完成"</formula>
    </cfRule>
  </conditionalFormatting>
  <conditionalFormatting sqref="N39:O39">
    <cfRule type="cellIs" dxfId="227" priority="227" operator="equal">
      <formula>"×"</formula>
    </cfRule>
    <cfRule type="cellIs" dxfId="226" priority="228" operator="equal">
      <formula>"√"</formula>
    </cfRule>
  </conditionalFormatting>
  <conditionalFormatting sqref="L39">
    <cfRule type="cellIs" dxfId="225" priority="225" operator="equal">
      <formula>"未完成"</formula>
    </cfRule>
    <cfRule type="cellIs" dxfId="224" priority="226" operator="equal">
      <formula>"已完成"</formula>
    </cfRule>
  </conditionalFormatting>
  <conditionalFormatting sqref="N40:O40">
    <cfRule type="cellIs" dxfId="223" priority="223" operator="equal">
      <formula>"×"</formula>
    </cfRule>
    <cfRule type="cellIs" dxfId="222" priority="224" operator="equal">
      <formula>"√"</formula>
    </cfRule>
  </conditionalFormatting>
  <conditionalFormatting sqref="L40">
    <cfRule type="cellIs" dxfId="221" priority="221" operator="equal">
      <formula>"未完成"</formula>
    </cfRule>
    <cfRule type="cellIs" dxfId="220" priority="222" operator="equal">
      <formula>"已完成"</formula>
    </cfRule>
  </conditionalFormatting>
  <conditionalFormatting sqref="N41:O41">
    <cfRule type="cellIs" dxfId="219" priority="219" operator="equal">
      <formula>"×"</formula>
    </cfRule>
    <cfRule type="cellIs" dxfId="218" priority="220" operator="equal">
      <formula>"√"</formula>
    </cfRule>
  </conditionalFormatting>
  <conditionalFormatting sqref="L41">
    <cfRule type="cellIs" dxfId="217" priority="217" operator="equal">
      <formula>"未完成"</formula>
    </cfRule>
    <cfRule type="cellIs" dxfId="216" priority="218" operator="equal">
      <formula>"已完成"</formula>
    </cfRule>
  </conditionalFormatting>
  <conditionalFormatting sqref="N42:O42">
    <cfRule type="cellIs" dxfId="215" priority="215" operator="equal">
      <formula>"×"</formula>
    </cfRule>
    <cfRule type="cellIs" dxfId="214" priority="216" operator="equal">
      <formula>"√"</formula>
    </cfRule>
  </conditionalFormatting>
  <conditionalFormatting sqref="L42">
    <cfRule type="cellIs" dxfId="213" priority="213" operator="equal">
      <formula>"未完成"</formula>
    </cfRule>
    <cfRule type="cellIs" dxfId="212" priority="214" operator="equal">
      <formula>"已完成"</formula>
    </cfRule>
  </conditionalFormatting>
  <conditionalFormatting sqref="N43:O43">
    <cfRule type="cellIs" dxfId="211" priority="211" operator="equal">
      <formula>"×"</formula>
    </cfRule>
    <cfRule type="cellIs" dxfId="210" priority="212" operator="equal">
      <formula>"√"</formula>
    </cfRule>
  </conditionalFormatting>
  <conditionalFormatting sqref="L43">
    <cfRule type="cellIs" dxfId="209" priority="209" operator="equal">
      <formula>"未完成"</formula>
    </cfRule>
    <cfRule type="cellIs" dxfId="208" priority="210" operator="equal">
      <formula>"已完成"</formula>
    </cfRule>
  </conditionalFormatting>
  <conditionalFormatting sqref="N44:O44">
    <cfRule type="cellIs" dxfId="207" priority="207" operator="equal">
      <formula>"×"</formula>
    </cfRule>
    <cfRule type="cellIs" dxfId="206" priority="208" operator="equal">
      <formula>"√"</formula>
    </cfRule>
  </conditionalFormatting>
  <conditionalFormatting sqref="L44">
    <cfRule type="cellIs" dxfId="205" priority="205" operator="equal">
      <formula>"未完成"</formula>
    </cfRule>
    <cfRule type="cellIs" dxfId="204" priority="206" operator="equal">
      <formula>"已完成"</formula>
    </cfRule>
  </conditionalFormatting>
  <conditionalFormatting sqref="N45:O45">
    <cfRule type="cellIs" dxfId="203" priority="203" operator="equal">
      <formula>"×"</formula>
    </cfRule>
    <cfRule type="cellIs" dxfId="202" priority="204" operator="equal">
      <formula>"√"</formula>
    </cfRule>
  </conditionalFormatting>
  <conditionalFormatting sqref="L45">
    <cfRule type="cellIs" dxfId="201" priority="201" operator="equal">
      <formula>"未完成"</formula>
    </cfRule>
    <cfRule type="cellIs" dxfId="200" priority="202" operator="equal">
      <formula>"已完成"</formula>
    </cfRule>
  </conditionalFormatting>
  <conditionalFormatting sqref="N46:O46">
    <cfRule type="cellIs" dxfId="199" priority="199" operator="equal">
      <formula>"×"</formula>
    </cfRule>
    <cfRule type="cellIs" dxfId="198" priority="200" operator="equal">
      <formula>"√"</formula>
    </cfRule>
  </conditionalFormatting>
  <conditionalFormatting sqref="L46">
    <cfRule type="cellIs" dxfId="197" priority="197" operator="equal">
      <formula>"未完成"</formula>
    </cfRule>
    <cfRule type="cellIs" dxfId="196" priority="198" operator="equal">
      <formula>"已完成"</formula>
    </cfRule>
  </conditionalFormatting>
  <conditionalFormatting sqref="N47:O47">
    <cfRule type="cellIs" dxfId="195" priority="195" operator="equal">
      <formula>"×"</formula>
    </cfRule>
    <cfRule type="cellIs" dxfId="194" priority="196" operator="equal">
      <formula>"√"</formula>
    </cfRule>
  </conditionalFormatting>
  <conditionalFormatting sqref="L47">
    <cfRule type="cellIs" dxfId="193" priority="193" operator="equal">
      <formula>"未完成"</formula>
    </cfRule>
    <cfRule type="cellIs" dxfId="192" priority="194" operator="equal">
      <formula>"已完成"</formula>
    </cfRule>
  </conditionalFormatting>
  <conditionalFormatting sqref="N48:O48">
    <cfRule type="cellIs" dxfId="191" priority="191" operator="equal">
      <formula>"×"</formula>
    </cfRule>
    <cfRule type="cellIs" dxfId="190" priority="192" operator="equal">
      <formula>"√"</formula>
    </cfRule>
  </conditionalFormatting>
  <conditionalFormatting sqref="L48">
    <cfRule type="cellIs" dxfId="189" priority="189" operator="equal">
      <formula>"未完成"</formula>
    </cfRule>
    <cfRule type="cellIs" dxfId="188" priority="190" operator="equal">
      <formula>"已完成"</formula>
    </cfRule>
  </conditionalFormatting>
  <conditionalFormatting sqref="N49:O49">
    <cfRule type="cellIs" dxfId="187" priority="187" operator="equal">
      <formula>"×"</formula>
    </cfRule>
    <cfRule type="cellIs" dxfId="186" priority="188" operator="equal">
      <formula>"√"</formula>
    </cfRule>
  </conditionalFormatting>
  <conditionalFormatting sqref="L49">
    <cfRule type="cellIs" dxfId="185" priority="185" operator="equal">
      <formula>"未完成"</formula>
    </cfRule>
    <cfRule type="cellIs" dxfId="184" priority="186" operator="equal">
      <formula>"已完成"</formula>
    </cfRule>
  </conditionalFormatting>
  <conditionalFormatting sqref="N50:O50">
    <cfRule type="cellIs" dxfId="183" priority="183" operator="equal">
      <formula>"×"</formula>
    </cfRule>
    <cfRule type="cellIs" dxfId="182" priority="184" operator="equal">
      <formula>"√"</formula>
    </cfRule>
  </conditionalFormatting>
  <conditionalFormatting sqref="L50">
    <cfRule type="cellIs" dxfId="181" priority="181" operator="equal">
      <formula>"未完成"</formula>
    </cfRule>
    <cfRule type="cellIs" dxfId="180" priority="182" operator="equal">
      <formula>"已完成"</formula>
    </cfRule>
  </conditionalFormatting>
  <conditionalFormatting sqref="N51:O51">
    <cfRule type="cellIs" dxfId="179" priority="179" operator="equal">
      <formula>"×"</formula>
    </cfRule>
    <cfRule type="cellIs" dxfId="178" priority="180" operator="equal">
      <formula>"√"</formula>
    </cfRule>
  </conditionalFormatting>
  <conditionalFormatting sqref="L51">
    <cfRule type="cellIs" dxfId="177" priority="177" operator="equal">
      <formula>"未完成"</formula>
    </cfRule>
    <cfRule type="cellIs" dxfId="176" priority="178" operator="equal">
      <formula>"已完成"</formula>
    </cfRule>
  </conditionalFormatting>
  <conditionalFormatting sqref="N52:O52">
    <cfRule type="cellIs" dxfId="175" priority="175" operator="equal">
      <formula>"×"</formula>
    </cfRule>
    <cfRule type="cellIs" dxfId="174" priority="176" operator="equal">
      <formula>"√"</formula>
    </cfRule>
  </conditionalFormatting>
  <conditionalFormatting sqref="L52">
    <cfRule type="cellIs" dxfId="173" priority="173" operator="equal">
      <formula>"未完成"</formula>
    </cfRule>
    <cfRule type="cellIs" dxfId="172" priority="174" operator="equal">
      <formula>"已完成"</formula>
    </cfRule>
  </conditionalFormatting>
  <conditionalFormatting sqref="N53:O53">
    <cfRule type="cellIs" dxfId="171" priority="171" operator="equal">
      <formula>"×"</formula>
    </cfRule>
    <cfRule type="cellIs" dxfId="170" priority="172" operator="equal">
      <formula>"√"</formula>
    </cfRule>
  </conditionalFormatting>
  <conditionalFormatting sqref="L53">
    <cfRule type="cellIs" dxfId="169" priority="169" operator="equal">
      <formula>"未完成"</formula>
    </cfRule>
    <cfRule type="cellIs" dxfId="168" priority="170" operator="equal">
      <formula>"已完成"</formula>
    </cfRule>
  </conditionalFormatting>
  <conditionalFormatting sqref="N54:O54">
    <cfRule type="cellIs" dxfId="167" priority="167" operator="equal">
      <formula>"×"</formula>
    </cfRule>
    <cfRule type="cellIs" dxfId="166" priority="168" operator="equal">
      <formula>"√"</formula>
    </cfRule>
  </conditionalFormatting>
  <conditionalFormatting sqref="L54">
    <cfRule type="cellIs" dxfId="165" priority="165" operator="equal">
      <formula>"未完成"</formula>
    </cfRule>
    <cfRule type="cellIs" dxfId="164" priority="166" operator="equal">
      <formula>"已完成"</formula>
    </cfRule>
  </conditionalFormatting>
  <conditionalFormatting sqref="N55:O55">
    <cfRule type="cellIs" dxfId="163" priority="163" operator="equal">
      <formula>"×"</formula>
    </cfRule>
    <cfRule type="cellIs" dxfId="162" priority="164" operator="equal">
      <formula>"√"</formula>
    </cfRule>
  </conditionalFormatting>
  <conditionalFormatting sqref="L55">
    <cfRule type="cellIs" dxfId="161" priority="161" operator="equal">
      <formula>"未完成"</formula>
    </cfRule>
    <cfRule type="cellIs" dxfId="160" priority="162" operator="equal">
      <formula>"已完成"</formula>
    </cfRule>
  </conditionalFormatting>
  <conditionalFormatting sqref="N56:O56">
    <cfRule type="cellIs" dxfId="159" priority="159" operator="equal">
      <formula>"×"</formula>
    </cfRule>
    <cfRule type="cellIs" dxfId="158" priority="160" operator="equal">
      <formula>"√"</formula>
    </cfRule>
  </conditionalFormatting>
  <conditionalFormatting sqref="L56">
    <cfRule type="cellIs" dxfId="157" priority="157" operator="equal">
      <formula>"未完成"</formula>
    </cfRule>
    <cfRule type="cellIs" dxfId="156" priority="158" operator="equal">
      <formula>"已完成"</formula>
    </cfRule>
  </conditionalFormatting>
  <conditionalFormatting sqref="N57:O57">
    <cfRule type="cellIs" dxfId="155" priority="155" operator="equal">
      <formula>"×"</formula>
    </cfRule>
    <cfRule type="cellIs" dxfId="154" priority="156" operator="equal">
      <formula>"√"</formula>
    </cfRule>
  </conditionalFormatting>
  <conditionalFormatting sqref="L57">
    <cfRule type="cellIs" dxfId="153" priority="153" operator="equal">
      <formula>"未完成"</formula>
    </cfRule>
    <cfRule type="cellIs" dxfId="152" priority="154" operator="equal">
      <formula>"已完成"</formula>
    </cfRule>
  </conditionalFormatting>
  <conditionalFormatting sqref="N58:O58">
    <cfRule type="cellIs" dxfId="151" priority="151" operator="equal">
      <formula>"×"</formula>
    </cfRule>
    <cfRule type="cellIs" dxfId="150" priority="152" operator="equal">
      <formula>"√"</formula>
    </cfRule>
  </conditionalFormatting>
  <conditionalFormatting sqref="L58">
    <cfRule type="cellIs" dxfId="149" priority="149" operator="equal">
      <formula>"未完成"</formula>
    </cfRule>
    <cfRule type="cellIs" dxfId="148" priority="150" operator="equal">
      <formula>"已完成"</formula>
    </cfRule>
  </conditionalFormatting>
  <conditionalFormatting sqref="N59:O59">
    <cfRule type="cellIs" dxfId="147" priority="147" operator="equal">
      <formula>"×"</formula>
    </cfRule>
    <cfRule type="cellIs" dxfId="146" priority="148" operator="equal">
      <formula>"√"</formula>
    </cfRule>
  </conditionalFormatting>
  <conditionalFormatting sqref="L59">
    <cfRule type="cellIs" dxfId="145" priority="145" operator="equal">
      <formula>"未完成"</formula>
    </cfRule>
    <cfRule type="cellIs" dxfId="144" priority="146" operator="equal">
      <formula>"已完成"</formula>
    </cfRule>
  </conditionalFormatting>
  <conditionalFormatting sqref="N60:O60">
    <cfRule type="cellIs" dxfId="143" priority="143" operator="equal">
      <formula>"×"</formula>
    </cfRule>
    <cfRule type="cellIs" dxfId="142" priority="144" operator="equal">
      <formula>"√"</formula>
    </cfRule>
  </conditionalFormatting>
  <conditionalFormatting sqref="L60">
    <cfRule type="cellIs" dxfId="141" priority="141" operator="equal">
      <formula>"未完成"</formula>
    </cfRule>
    <cfRule type="cellIs" dxfId="140" priority="142" operator="equal">
      <formula>"已完成"</formula>
    </cfRule>
  </conditionalFormatting>
  <conditionalFormatting sqref="N61:O61">
    <cfRule type="cellIs" dxfId="139" priority="139" operator="equal">
      <formula>"×"</formula>
    </cfRule>
    <cfRule type="cellIs" dxfId="138" priority="140" operator="equal">
      <formula>"√"</formula>
    </cfRule>
  </conditionalFormatting>
  <conditionalFormatting sqref="L61">
    <cfRule type="cellIs" dxfId="137" priority="137" operator="equal">
      <formula>"未完成"</formula>
    </cfRule>
    <cfRule type="cellIs" dxfId="136" priority="138" operator="equal">
      <formula>"已完成"</formula>
    </cfRule>
  </conditionalFormatting>
  <conditionalFormatting sqref="N62:O62">
    <cfRule type="cellIs" dxfId="135" priority="135" operator="equal">
      <formula>"×"</formula>
    </cfRule>
    <cfRule type="cellIs" dxfId="134" priority="136" operator="equal">
      <formula>"√"</formula>
    </cfRule>
  </conditionalFormatting>
  <conditionalFormatting sqref="L62">
    <cfRule type="cellIs" dxfId="133" priority="133" operator="equal">
      <formula>"未完成"</formula>
    </cfRule>
    <cfRule type="cellIs" dxfId="132" priority="134" operator="equal">
      <formula>"已完成"</formula>
    </cfRule>
  </conditionalFormatting>
  <conditionalFormatting sqref="N63:O63">
    <cfRule type="cellIs" dxfId="131" priority="131" operator="equal">
      <formula>"×"</formula>
    </cfRule>
    <cfRule type="cellIs" dxfId="130" priority="132" operator="equal">
      <formula>"√"</formula>
    </cfRule>
  </conditionalFormatting>
  <conditionalFormatting sqref="L63">
    <cfRule type="cellIs" dxfId="129" priority="129" operator="equal">
      <formula>"未完成"</formula>
    </cfRule>
    <cfRule type="cellIs" dxfId="128" priority="130" operator="equal">
      <formula>"已完成"</formula>
    </cfRule>
  </conditionalFormatting>
  <conditionalFormatting sqref="N64:O64">
    <cfRule type="cellIs" dxfId="127" priority="127" operator="equal">
      <formula>"×"</formula>
    </cfRule>
    <cfRule type="cellIs" dxfId="126" priority="128" operator="equal">
      <formula>"√"</formula>
    </cfRule>
  </conditionalFormatting>
  <conditionalFormatting sqref="L64">
    <cfRule type="cellIs" dxfId="125" priority="125" operator="equal">
      <formula>"未完成"</formula>
    </cfRule>
    <cfRule type="cellIs" dxfId="124" priority="126" operator="equal">
      <formula>"已完成"</formula>
    </cfRule>
  </conditionalFormatting>
  <conditionalFormatting sqref="N65:O65">
    <cfRule type="cellIs" dxfId="123" priority="123" operator="equal">
      <formula>"×"</formula>
    </cfRule>
    <cfRule type="cellIs" dxfId="122" priority="124" operator="equal">
      <formula>"√"</formula>
    </cfRule>
  </conditionalFormatting>
  <conditionalFormatting sqref="L65">
    <cfRule type="cellIs" dxfId="121" priority="121" operator="equal">
      <formula>"未完成"</formula>
    </cfRule>
    <cfRule type="cellIs" dxfId="120" priority="122" operator="equal">
      <formula>"已完成"</formula>
    </cfRule>
  </conditionalFormatting>
  <conditionalFormatting sqref="N66:O66">
    <cfRule type="cellIs" dxfId="119" priority="119" operator="equal">
      <formula>"×"</formula>
    </cfRule>
    <cfRule type="cellIs" dxfId="118" priority="120" operator="equal">
      <formula>"√"</formula>
    </cfRule>
  </conditionalFormatting>
  <conditionalFormatting sqref="L66">
    <cfRule type="cellIs" dxfId="117" priority="117" operator="equal">
      <formula>"未完成"</formula>
    </cfRule>
    <cfRule type="cellIs" dxfId="116" priority="118" operator="equal">
      <formula>"已完成"</formula>
    </cfRule>
  </conditionalFormatting>
  <conditionalFormatting sqref="N67:O67">
    <cfRule type="cellIs" dxfId="115" priority="115" operator="equal">
      <formula>"×"</formula>
    </cfRule>
    <cfRule type="cellIs" dxfId="114" priority="116" operator="equal">
      <formula>"√"</formula>
    </cfRule>
  </conditionalFormatting>
  <conditionalFormatting sqref="L67">
    <cfRule type="cellIs" dxfId="113" priority="113" operator="equal">
      <formula>"未完成"</formula>
    </cfRule>
    <cfRule type="cellIs" dxfId="112" priority="114" operator="equal">
      <formula>"已完成"</formula>
    </cfRule>
  </conditionalFormatting>
  <conditionalFormatting sqref="N68:O68">
    <cfRule type="cellIs" dxfId="111" priority="111" operator="equal">
      <formula>"×"</formula>
    </cfRule>
    <cfRule type="cellIs" dxfId="110" priority="112" operator="equal">
      <formula>"√"</formula>
    </cfRule>
  </conditionalFormatting>
  <conditionalFormatting sqref="L68">
    <cfRule type="cellIs" dxfId="109" priority="109" operator="equal">
      <formula>"未完成"</formula>
    </cfRule>
    <cfRule type="cellIs" dxfId="108" priority="110" operator="equal">
      <formula>"已完成"</formula>
    </cfRule>
  </conditionalFormatting>
  <conditionalFormatting sqref="N69:O69">
    <cfRule type="cellIs" dxfId="107" priority="107" operator="equal">
      <formula>"×"</formula>
    </cfRule>
    <cfRule type="cellIs" dxfId="106" priority="108" operator="equal">
      <formula>"√"</formula>
    </cfRule>
  </conditionalFormatting>
  <conditionalFormatting sqref="L69">
    <cfRule type="cellIs" dxfId="105" priority="105" operator="equal">
      <formula>"未完成"</formula>
    </cfRule>
    <cfRule type="cellIs" dxfId="104" priority="106" operator="equal">
      <formula>"已完成"</formula>
    </cfRule>
  </conditionalFormatting>
  <conditionalFormatting sqref="N70:O70">
    <cfRule type="cellIs" dxfId="103" priority="103" operator="equal">
      <formula>"×"</formula>
    </cfRule>
    <cfRule type="cellIs" dxfId="102" priority="104" operator="equal">
      <formula>"√"</formula>
    </cfRule>
  </conditionalFormatting>
  <conditionalFormatting sqref="L70">
    <cfRule type="cellIs" dxfId="101" priority="101" operator="equal">
      <formula>"未完成"</formula>
    </cfRule>
    <cfRule type="cellIs" dxfId="100" priority="102" operator="equal">
      <formula>"已完成"</formula>
    </cfRule>
  </conditionalFormatting>
  <conditionalFormatting sqref="N71:O71">
    <cfRule type="cellIs" dxfId="99" priority="99" operator="equal">
      <formula>"×"</formula>
    </cfRule>
    <cfRule type="cellIs" dxfId="98" priority="100" operator="equal">
      <formula>"√"</formula>
    </cfRule>
  </conditionalFormatting>
  <conditionalFormatting sqref="L71">
    <cfRule type="cellIs" dxfId="97" priority="97" operator="equal">
      <formula>"未完成"</formula>
    </cfRule>
    <cfRule type="cellIs" dxfId="96" priority="98" operator="equal">
      <formula>"已完成"</formula>
    </cfRule>
  </conditionalFormatting>
  <conditionalFormatting sqref="N72:O72">
    <cfRule type="cellIs" dxfId="95" priority="95" operator="equal">
      <formula>"×"</formula>
    </cfRule>
    <cfRule type="cellIs" dxfId="94" priority="96" operator="equal">
      <formula>"√"</formula>
    </cfRule>
  </conditionalFormatting>
  <conditionalFormatting sqref="L72">
    <cfRule type="cellIs" dxfId="93" priority="93" operator="equal">
      <formula>"未完成"</formula>
    </cfRule>
    <cfRule type="cellIs" dxfId="92" priority="94" operator="equal">
      <formula>"已完成"</formula>
    </cfRule>
  </conditionalFormatting>
  <conditionalFormatting sqref="N73:O73">
    <cfRule type="cellIs" dxfId="91" priority="91" operator="equal">
      <formula>"×"</formula>
    </cfRule>
    <cfRule type="cellIs" dxfId="90" priority="92" operator="equal">
      <formula>"√"</formula>
    </cfRule>
  </conditionalFormatting>
  <conditionalFormatting sqref="L73">
    <cfRule type="cellIs" dxfId="89" priority="89" operator="equal">
      <formula>"未完成"</formula>
    </cfRule>
    <cfRule type="cellIs" dxfId="88" priority="90" operator="equal">
      <formula>"已完成"</formula>
    </cfRule>
  </conditionalFormatting>
  <conditionalFormatting sqref="N74:O74">
    <cfRule type="cellIs" dxfId="87" priority="87" operator="equal">
      <formula>"×"</formula>
    </cfRule>
    <cfRule type="cellIs" dxfId="86" priority="88" operator="equal">
      <formula>"√"</formula>
    </cfRule>
  </conditionalFormatting>
  <conditionalFormatting sqref="L74">
    <cfRule type="cellIs" dxfId="85" priority="85" operator="equal">
      <formula>"未完成"</formula>
    </cfRule>
    <cfRule type="cellIs" dxfId="84" priority="86" operator="equal">
      <formula>"已完成"</formula>
    </cfRule>
  </conditionalFormatting>
  <conditionalFormatting sqref="N75:O75">
    <cfRule type="cellIs" dxfId="83" priority="83" operator="equal">
      <formula>"×"</formula>
    </cfRule>
    <cfRule type="cellIs" dxfId="82" priority="84" operator="equal">
      <formula>"√"</formula>
    </cfRule>
  </conditionalFormatting>
  <conditionalFormatting sqref="L75">
    <cfRule type="cellIs" dxfId="81" priority="81" operator="equal">
      <formula>"未完成"</formula>
    </cfRule>
    <cfRule type="cellIs" dxfId="80" priority="82" operator="equal">
      <formula>"已完成"</formula>
    </cfRule>
  </conditionalFormatting>
  <conditionalFormatting sqref="N76:O76">
    <cfRule type="cellIs" dxfId="79" priority="79" operator="equal">
      <formula>"×"</formula>
    </cfRule>
    <cfRule type="cellIs" dxfId="78" priority="80" operator="equal">
      <formula>"√"</formula>
    </cfRule>
  </conditionalFormatting>
  <conditionalFormatting sqref="L76">
    <cfRule type="cellIs" dxfId="77" priority="77" operator="equal">
      <formula>"未完成"</formula>
    </cfRule>
    <cfRule type="cellIs" dxfId="76" priority="78" operator="equal">
      <formula>"已完成"</formula>
    </cfRule>
  </conditionalFormatting>
  <conditionalFormatting sqref="N77:O77">
    <cfRule type="cellIs" dxfId="75" priority="75" operator="equal">
      <formula>"×"</formula>
    </cfRule>
    <cfRule type="cellIs" dxfId="74" priority="76" operator="equal">
      <formula>"√"</formula>
    </cfRule>
  </conditionalFormatting>
  <conditionalFormatting sqref="L77">
    <cfRule type="cellIs" dxfId="73" priority="73" operator="equal">
      <formula>"未完成"</formula>
    </cfRule>
    <cfRule type="cellIs" dxfId="72" priority="74" operator="equal">
      <formula>"已完成"</formula>
    </cfRule>
  </conditionalFormatting>
  <conditionalFormatting sqref="N78:O78">
    <cfRule type="cellIs" dxfId="71" priority="71" operator="equal">
      <formula>"×"</formula>
    </cfRule>
    <cfRule type="cellIs" dxfId="70" priority="72" operator="equal">
      <formula>"√"</formula>
    </cfRule>
  </conditionalFormatting>
  <conditionalFormatting sqref="L78">
    <cfRule type="cellIs" dxfId="69" priority="69" operator="equal">
      <formula>"未完成"</formula>
    </cfRule>
    <cfRule type="cellIs" dxfId="68" priority="70" operator="equal">
      <formula>"已完成"</formula>
    </cfRule>
  </conditionalFormatting>
  <conditionalFormatting sqref="N79:O79">
    <cfRule type="cellIs" dxfId="67" priority="67" operator="equal">
      <formula>"×"</formula>
    </cfRule>
    <cfRule type="cellIs" dxfId="66" priority="68" operator="equal">
      <formula>"√"</formula>
    </cfRule>
  </conditionalFormatting>
  <conditionalFormatting sqref="L79">
    <cfRule type="cellIs" dxfId="65" priority="65" operator="equal">
      <formula>"未完成"</formula>
    </cfRule>
    <cfRule type="cellIs" dxfId="64" priority="66" operator="equal">
      <formula>"已完成"</formula>
    </cfRule>
  </conditionalFormatting>
  <conditionalFormatting sqref="N80:O80">
    <cfRule type="cellIs" dxfId="63" priority="63" operator="equal">
      <formula>"×"</formula>
    </cfRule>
    <cfRule type="cellIs" dxfId="62" priority="64" operator="equal">
      <formula>"√"</formula>
    </cfRule>
  </conditionalFormatting>
  <conditionalFormatting sqref="L80">
    <cfRule type="cellIs" dxfId="61" priority="61" operator="equal">
      <formula>"未完成"</formula>
    </cfRule>
    <cfRule type="cellIs" dxfId="60" priority="62" operator="equal">
      <formula>"已完成"</formula>
    </cfRule>
  </conditionalFormatting>
  <conditionalFormatting sqref="N81:O81">
    <cfRule type="cellIs" dxfId="59" priority="59" operator="equal">
      <formula>"×"</formula>
    </cfRule>
    <cfRule type="cellIs" dxfId="58" priority="60" operator="equal">
      <formula>"√"</formula>
    </cfRule>
  </conditionalFormatting>
  <conditionalFormatting sqref="L81">
    <cfRule type="cellIs" dxfId="57" priority="57" operator="equal">
      <formula>"未完成"</formula>
    </cfRule>
    <cfRule type="cellIs" dxfId="56" priority="58" operator="equal">
      <formula>"已完成"</formula>
    </cfRule>
  </conditionalFormatting>
  <conditionalFormatting sqref="N82:O82">
    <cfRule type="cellIs" dxfId="55" priority="55" operator="equal">
      <formula>"×"</formula>
    </cfRule>
    <cfRule type="cellIs" dxfId="54" priority="56" operator="equal">
      <formula>"√"</formula>
    </cfRule>
  </conditionalFormatting>
  <conditionalFormatting sqref="L82">
    <cfRule type="cellIs" dxfId="53" priority="53" operator="equal">
      <formula>"未完成"</formula>
    </cfRule>
    <cfRule type="cellIs" dxfId="52" priority="54" operator="equal">
      <formula>"已完成"</formula>
    </cfRule>
  </conditionalFormatting>
  <conditionalFormatting sqref="N83:O83">
    <cfRule type="cellIs" dxfId="51" priority="51" operator="equal">
      <formula>"×"</formula>
    </cfRule>
    <cfRule type="cellIs" dxfId="50" priority="52" operator="equal">
      <formula>"√"</formula>
    </cfRule>
  </conditionalFormatting>
  <conditionalFormatting sqref="L83">
    <cfRule type="cellIs" dxfId="49" priority="49" operator="equal">
      <formula>"未完成"</formula>
    </cfRule>
    <cfRule type="cellIs" dxfId="48" priority="50" operator="equal">
      <formula>"已完成"</formula>
    </cfRule>
  </conditionalFormatting>
  <conditionalFormatting sqref="N84:O84">
    <cfRule type="cellIs" dxfId="47" priority="47" operator="equal">
      <formula>"×"</formula>
    </cfRule>
    <cfRule type="cellIs" dxfId="46" priority="48" operator="equal">
      <formula>"√"</formula>
    </cfRule>
  </conditionalFormatting>
  <conditionalFormatting sqref="L84">
    <cfRule type="cellIs" dxfId="45" priority="45" operator="equal">
      <formula>"未完成"</formula>
    </cfRule>
    <cfRule type="cellIs" dxfId="44" priority="46" operator="equal">
      <formula>"已完成"</formula>
    </cfRule>
  </conditionalFormatting>
  <conditionalFormatting sqref="N85:O85">
    <cfRule type="cellIs" dxfId="43" priority="43" operator="equal">
      <formula>"×"</formula>
    </cfRule>
    <cfRule type="cellIs" dxfId="42" priority="44" operator="equal">
      <formula>"√"</formula>
    </cfRule>
  </conditionalFormatting>
  <conditionalFormatting sqref="L85">
    <cfRule type="cellIs" dxfId="41" priority="41" operator="equal">
      <formula>"未完成"</formula>
    </cfRule>
    <cfRule type="cellIs" dxfId="40" priority="42" operator="equal">
      <formula>"已完成"</formula>
    </cfRule>
  </conditionalFormatting>
  <conditionalFormatting sqref="N86:O86">
    <cfRule type="cellIs" dxfId="39" priority="39" operator="equal">
      <formula>"×"</formula>
    </cfRule>
    <cfRule type="cellIs" dxfId="38" priority="40" operator="equal">
      <formula>"√"</formula>
    </cfRule>
  </conditionalFormatting>
  <conditionalFormatting sqref="L86">
    <cfRule type="cellIs" dxfId="37" priority="37" operator="equal">
      <formula>"未完成"</formula>
    </cfRule>
    <cfRule type="cellIs" dxfId="36" priority="38" operator="equal">
      <formula>"已完成"</formula>
    </cfRule>
  </conditionalFormatting>
  <conditionalFormatting sqref="N87:O87">
    <cfRule type="cellIs" dxfId="35" priority="35" operator="equal">
      <formula>"×"</formula>
    </cfRule>
    <cfRule type="cellIs" dxfId="34" priority="36" operator="equal">
      <formula>"√"</formula>
    </cfRule>
  </conditionalFormatting>
  <conditionalFormatting sqref="L87">
    <cfRule type="cellIs" dxfId="33" priority="33" operator="equal">
      <formula>"未完成"</formula>
    </cfRule>
    <cfRule type="cellIs" dxfId="32" priority="34" operator="equal">
      <formula>"已完成"</formula>
    </cfRule>
  </conditionalFormatting>
  <conditionalFormatting sqref="N88:O88">
    <cfRule type="cellIs" dxfId="31" priority="31" operator="equal">
      <formula>"×"</formula>
    </cfRule>
    <cfRule type="cellIs" dxfId="30" priority="32" operator="equal">
      <formula>"√"</formula>
    </cfRule>
  </conditionalFormatting>
  <conditionalFormatting sqref="L88">
    <cfRule type="cellIs" dxfId="29" priority="29" operator="equal">
      <formula>"未完成"</formula>
    </cfRule>
    <cfRule type="cellIs" dxfId="28" priority="30" operator="equal">
      <formula>"已完成"</formula>
    </cfRule>
  </conditionalFormatting>
  <conditionalFormatting sqref="N89:O89">
    <cfRule type="cellIs" dxfId="27" priority="27" operator="equal">
      <formula>"×"</formula>
    </cfRule>
    <cfRule type="cellIs" dxfId="26" priority="28" operator="equal">
      <formula>"√"</formula>
    </cfRule>
  </conditionalFormatting>
  <conditionalFormatting sqref="L89">
    <cfRule type="cellIs" dxfId="25" priority="25" operator="equal">
      <formula>"未完成"</formula>
    </cfRule>
    <cfRule type="cellIs" dxfId="24" priority="26" operator="equal">
      <formula>"已完成"</formula>
    </cfRule>
  </conditionalFormatting>
  <conditionalFormatting sqref="N90:O90">
    <cfRule type="cellIs" dxfId="23" priority="23" operator="equal">
      <formula>"×"</formula>
    </cfRule>
    <cfRule type="cellIs" dxfId="22" priority="24" operator="equal">
      <formula>"√"</formula>
    </cfRule>
  </conditionalFormatting>
  <conditionalFormatting sqref="L90">
    <cfRule type="cellIs" dxfId="21" priority="21" operator="equal">
      <formula>"未完成"</formula>
    </cfRule>
    <cfRule type="cellIs" dxfId="20" priority="22" operator="equal">
      <formula>"已完成"</formula>
    </cfRule>
  </conditionalFormatting>
  <conditionalFormatting sqref="N91:O91">
    <cfRule type="cellIs" dxfId="19" priority="19" operator="equal">
      <formula>"×"</formula>
    </cfRule>
    <cfRule type="cellIs" dxfId="18" priority="20" operator="equal">
      <formula>"√"</formula>
    </cfRule>
  </conditionalFormatting>
  <conditionalFormatting sqref="L91">
    <cfRule type="cellIs" dxfId="17" priority="17" operator="equal">
      <formula>"未完成"</formula>
    </cfRule>
    <cfRule type="cellIs" dxfId="16" priority="18" operator="equal">
      <formula>"已完成"</formula>
    </cfRule>
  </conditionalFormatting>
  <conditionalFormatting sqref="N28:O28">
    <cfRule type="cellIs" dxfId="15" priority="15" operator="equal">
      <formula>"×"</formula>
    </cfRule>
    <cfRule type="cellIs" dxfId="14" priority="16" operator="equal">
      <formula>"√"</formula>
    </cfRule>
  </conditionalFormatting>
  <conditionalFormatting sqref="L28">
    <cfRule type="cellIs" dxfId="13" priority="13" operator="equal">
      <formula>"未完成"</formula>
    </cfRule>
    <cfRule type="cellIs" dxfId="12" priority="14" operator="equal">
      <formula>"已完成"</formula>
    </cfRule>
  </conditionalFormatting>
  <conditionalFormatting sqref="L22">
    <cfRule type="cellIs" dxfId="11" priority="9" operator="equal">
      <formula>"未完成"</formula>
    </cfRule>
    <cfRule type="cellIs" dxfId="10" priority="10" operator="equal">
      <formula>"已完成"</formula>
    </cfRule>
  </conditionalFormatting>
  <conditionalFormatting sqref="D22">
    <cfRule type="cellIs" dxfId="9" priority="11" operator="equal">
      <formula>"×"</formula>
    </cfRule>
    <cfRule type="cellIs" dxfId="8" priority="12" operator="equal">
      <formula>"√"</formula>
    </cfRule>
  </conditionalFormatting>
  <conditionalFormatting sqref="D23:D24 N23:N24">
    <cfRule type="cellIs" dxfId="7" priority="7" operator="equal">
      <formula>"×"</formula>
    </cfRule>
    <cfRule type="cellIs" dxfId="6" priority="8" operator="equal">
      <formula>"√"</formula>
    </cfRule>
  </conditionalFormatting>
  <conditionalFormatting sqref="L23:L24">
    <cfRule type="cellIs" dxfId="5" priority="5" operator="equal">
      <formula>"未完成"</formula>
    </cfRule>
    <cfRule type="cellIs" dxfId="4" priority="6" operator="equal">
      <formula>"已完成"</formula>
    </cfRule>
  </conditionalFormatting>
  <conditionalFormatting sqref="D25 N25">
    <cfRule type="cellIs" dxfId="3" priority="3" operator="equal">
      <formula>"×"</formula>
    </cfRule>
    <cfRule type="cellIs" dxfId="2" priority="4" operator="equal">
      <formula>"√"</formula>
    </cfRule>
  </conditionalFormatting>
  <conditionalFormatting sqref="L25">
    <cfRule type="cellIs" dxfId="1" priority="1" operator="equal">
      <formula>"未完成"</formula>
    </cfRule>
    <cfRule type="cellIs" dxfId="0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I23:I25</xm:sqref>
        </x14:dataValidation>
        <x14:dataValidation type="list" allowBlank="1" showInputMessage="1" showErrorMessage="1">
          <x14:formula1>
            <xm:f>配置!$I$4:$I$8</xm:f>
          </x14:formula1>
          <xm:sqref>E23:F25</xm:sqref>
        </x14:dataValidation>
        <x14:dataValidation type="list" allowBlank="1" showInputMessage="1" showErrorMessage="1">
          <x14:formula1>
            <xm:f>配置!$K$4:$K$8</xm:f>
          </x14:formula1>
          <xm:sqref>C23:C25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G20:G21 G23:G25</xm:sqref>
        </x14:dataValidation>
        <x14:dataValidation type="list" allowBlank="1" showInputMessage="1" showErrorMessage="1">
          <x14:formula1>
            <xm:f>配置!$E$4:$E$6</xm:f>
          </x14:formula1>
          <xm:sqref>L20:L21 L23:L25</xm:sqref>
        </x14:dataValidation>
        <x14:dataValidation type="list" allowBlank="1" showInputMessage="1" showErrorMessage="1">
          <x14:formula1>
            <xm:f>配置!$E$3:$E$5</xm:f>
          </x14:formula1>
          <xm:sqref>L6:L18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空白表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Sgang19890818@gmail.com</dc:creator>
  <cp:lastModifiedBy>宋景略</cp:lastModifiedBy>
  <cp:lastPrinted>2017-09-24T03:58:16Z</cp:lastPrinted>
  <dcterms:created xsi:type="dcterms:W3CDTF">2015-06-05T18:19:34Z</dcterms:created>
  <dcterms:modified xsi:type="dcterms:W3CDTF">2017-09-24T14:13:53Z</dcterms:modified>
</cp:coreProperties>
</file>